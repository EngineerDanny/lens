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/>
  <mc:AlternateContent xmlns:mc="http://schemas.openxmlformats.org/markup-compatibility/2006">
    <mc:Choice Requires="x15">
      <x15ac:absPath xmlns:x15ac="http://schemas.microsoft.com/office/spreadsheetml/2010/11/ac" url="/Volumes/lmmepki$/AG_Stecher/!!Manuscripts/Anna_OMM Dropout Community Assembly 2022/!! Editorial Corrections - Nat Coms July 2023/"/>
    </mc:Choice>
  </mc:AlternateContent>
  <xr:revisionPtr revIDLastSave="0" documentId="13_ncr:1_{410D4E5D-D022-F64B-8DBA-D039655C9FE5}" xr6:coauthVersionLast="47" xr6:coauthVersionMax="47" xr10:uidLastSave="{00000000-0000-0000-0000-000000000000}"/>
  <bookViews>
    <workbookView xWindow="4880" yWindow="4920" windowWidth="29520" windowHeight="12300" activeTab="12" xr2:uid="{00000000-000D-0000-FFFF-FFFF00000000}"/>
  </bookViews>
  <sheets>
    <sheet name="Overview" sheetId="15" r:id="rId1"/>
    <sheet name="Tab1" sheetId="1" r:id="rId2"/>
    <sheet name="Tab2" sheetId="2" r:id="rId3"/>
    <sheet name="Tab3" sheetId="3" r:id="rId4"/>
    <sheet name="Tab4" sheetId="4" r:id="rId5"/>
    <sheet name="Tab5" sheetId="5" r:id="rId6"/>
    <sheet name="Tab6" sheetId="6" r:id="rId7"/>
    <sheet name="Tab7" sheetId="7" r:id="rId8"/>
    <sheet name="Tab8" sheetId="8" r:id="rId9"/>
    <sheet name="Tab 9" sheetId="20" r:id="rId10"/>
    <sheet name="Tab10" sheetId="9" r:id="rId11"/>
    <sheet name="Tab11" sheetId="10" r:id="rId12"/>
    <sheet name="Tab 12" sheetId="21" r:id="rId13"/>
    <sheet name="Tab13" sheetId="11" r:id="rId14"/>
    <sheet name="Tab14" sheetId="12" r:id="rId15"/>
    <sheet name="Tab15" sheetId="13" r:id="rId16"/>
    <sheet name="Tab16" sheetId="14" r:id="rId17"/>
    <sheet name="Tab 17" sheetId="16" r:id="rId18"/>
    <sheet name="Tab 18" sheetId="18" r:id="rId19"/>
    <sheet name="Tab 19" sheetId="19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9" l="1"/>
  <c r="J14" i="19"/>
  <c r="J13" i="19"/>
  <c r="J12" i="19"/>
  <c r="J11" i="19"/>
  <c r="J10" i="19"/>
  <c r="J9" i="19"/>
  <c r="J8" i="19"/>
  <c r="J7" i="19"/>
  <c r="J6" i="19"/>
  <c r="F38" i="14" l="1"/>
  <c r="F37" i="14"/>
  <c r="F36" i="14"/>
  <c r="F35" i="14"/>
  <c r="F34" i="14"/>
  <c r="F33" i="14"/>
  <c r="F32" i="14"/>
  <c r="F31" i="14"/>
  <c r="F30" i="14"/>
  <c r="F29" i="14"/>
  <c r="F28" i="14"/>
  <c r="F27" i="14"/>
  <c r="F26" i="14" l="1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 l="1"/>
  <c r="F6" i="14"/>
  <c r="F5" i="14"/>
  <c r="F4" i="14"/>
  <c r="F3" i="14"/>
  <c r="F2" i="14"/>
</calcChain>
</file>

<file path=xl/sharedStrings.xml><?xml version="1.0" encoding="utf-8"?>
<sst xmlns="http://schemas.openxmlformats.org/spreadsheetml/2006/main" count="2155" uniqueCount="1146">
  <si>
    <t>16Scorr</t>
  </si>
  <si>
    <t>KB1</t>
  </si>
  <si>
    <t>YL2</t>
  </si>
  <si>
    <t>KB18</t>
  </si>
  <si>
    <t>YL27</t>
  </si>
  <si>
    <t>YL31</t>
  </si>
  <si>
    <t>YL32</t>
  </si>
  <si>
    <t>YL44</t>
  </si>
  <si>
    <t>YL45</t>
  </si>
  <si>
    <t>I46</t>
  </si>
  <si>
    <t>I48</t>
  </si>
  <si>
    <t>I49</t>
  </si>
  <si>
    <t>YL58</t>
  </si>
  <si>
    <t>sum</t>
  </si>
  <si>
    <t>OMM11-KB1_E3_AF_W1</t>
  </si>
  <si>
    <t>OMM11-KB1_E3_AF_W2</t>
  </si>
  <si>
    <t>OMM11-KB1_E3_AF_W3</t>
  </si>
  <si>
    <t>OMM11-YL2_E3_AF_W1</t>
  </si>
  <si>
    <t>OMM11-YL2_E3_AF_W2</t>
  </si>
  <si>
    <t>OMM11-YL2_E3_AF_W3</t>
  </si>
  <si>
    <t>OMM11-KB18_E3_AF_W1</t>
  </si>
  <si>
    <t>OMM11-KB18_E3_AF_W2</t>
  </si>
  <si>
    <t>OMM11-KB18_E3_AF_W3</t>
  </si>
  <si>
    <t>OMM11-YL27_E3_AF_W1</t>
  </si>
  <si>
    <t>OMM11-YL27_E3_AF_W2</t>
  </si>
  <si>
    <t>OMM11-YL27_E3_AF_W3</t>
  </si>
  <si>
    <t>OMM11-YL31_E3_AF_W1</t>
  </si>
  <si>
    <t>OMM11-YL31_E3_AF_W2</t>
  </si>
  <si>
    <t>OMM11-YL31_E3_AF_W3</t>
  </si>
  <si>
    <t>OMM11-YL32_E3_AF_W1</t>
  </si>
  <si>
    <t>OMM11-YL32_E3_AF_W2</t>
  </si>
  <si>
    <t>OMM11-YL32_E3_AF_W3</t>
  </si>
  <si>
    <t>OMM11-YL44_E3_AF_W1</t>
  </si>
  <si>
    <t>OMM11-YL44_E3_AF_W2</t>
  </si>
  <si>
    <t>OMM11-YL44_E3_AF_W3</t>
  </si>
  <si>
    <t>OMM11-YL45_E3_AF_W1</t>
  </si>
  <si>
    <t>OMM11-YL45_E3_AF_W2</t>
  </si>
  <si>
    <t>OMM11-YL45_E3_AF_W3</t>
  </si>
  <si>
    <t>OMM11-I46_E3_AF_W1</t>
  </si>
  <si>
    <t>OMM11-I46_E3_AF_W2</t>
  </si>
  <si>
    <t>OMM11-I46_E3_AF_W3</t>
  </si>
  <si>
    <t>OMM11-I48_E3_AF_W1</t>
  </si>
  <si>
    <t>OMM11-I48_E3_AF_W3</t>
  </si>
  <si>
    <t>OMM11-I49_E3_AF_W1</t>
  </si>
  <si>
    <t>OMM11-I49_E3_AF_W2</t>
  </si>
  <si>
    <t>OMM11-I49_E3_AF_W3</t>
  </si>
  <si>
    <t>OMM11-YL58_E3_AF_W1</t>
  </si>
  <si>
    <t>OMM11-YL58_E3_AF_W2</t>
  </si>
  <si>
    <t>OMM11-YL58_E3_AF_W3</t>
  </si>
  <si>
    <t>OMM12_E3_AF_W1</t>
  </si>
  <si>
    <t>OMM12_E3_AF_W2</t>
  </si>
  <si>
    <t>OMM12_E3_AF_W3</t>
  </si>
  <si>
    <t>OMM11-KB1_E1_AF_W1</t>
  </si>
  <si>
    <t>OMM11-KB1_E1_AF_W2</t>
  </si>
  <si>
    <t>OMM11-KB1_E1_AF_W3</t>
  </si>
  <si>
    <t>OMM11-YL2_E1_AF_W1</t>
  </si>
  <si>
    <t>OMM11-YL2_E1_AF_W2</t>
  </si>
  <si>
    <t>OMM11-YL2_E1_AF_W3</t>
  </si>
  <si>
    <t>OMM11-KB18_E1_AF_W1</t>
  </si>
  <si>
    <t>OMM11-KB18_E1_AF_W2</t>
  </si>
  <si>
    <t>OMM11-KB18_E1_AF_W3</t>
  </si>
  <si>
    <t>OMM11-YL27_E1_AF_W1</t>
  </si>
  <si>
    <t>OMM11-YL27_E1_AF_W2</t>
  </si>
  <si>
    <t>OMM11-YL27_E1_AF_W3</t>
  </si>
  <si>
    <t>OMM11-YL31_E1_AF_W1</t>
  </si>
  <si>
    <t>OMM11-YL31_E1_AF_W2</t>
  </si>
  <si>
    <t>OMM11-YL31_E1_AF_W3</t>
  </si>
  <si>
    <t>OMM11-YL32_E1_AF_W1</t>
  </si>
  <si>
    <t>OMM11-YL32_E1_AF_W2</t>
  </si>
  <si>
    <t>OMM11-YL44_E1_AF_W1</t>
  </si>
  <si>
    <t>OMM11-YL44_E1_AF_W2</t>
  </si>
  <si>
    <t>OMM11-YL44_E1_AF_W3</t>
  </si>
  <si>
    <t>OMM11-YL45_E1_AF_W1</t>
  </si>
  <si>
    <t>OMM11-YL45_E1_AF_W2</t>
  </si>
  <si>
    <t>OMM11-YL45_E1_AF_W3</t>
  </si>
  <si>
    <t>OMM11-I46_E1_AF_W1</t>
  </si>
  <si>
    <t>OMM11-I46_E1_AF_W2</t>
  </si>
  <si>
    <t>OMM11-I46_E1_AF_W3</t>
  </si>
  <si>
    <t>OMM11-I48_E1_AF_W1</t>
  </si>
  <si>
    <t>OMM11-I48_E1_AF_W2</t>
  </si>
  <si>
    <t>OMM11-I49_E1_AF_W1</t>
  </si>
  <si>
    <t>OMM11-I49_E1_AF_W2</t>
  </si>
  <si>
    <t>OMM11-I49_E1_AF_W3</t>
  </si>
  <si>
    <t>OMM11-YL58_E1_AF_W1</t>
  </si>
  <si>
    <t>OMM11-YL58_E1_AF_W2</t>
  </si>
  <si>
    <t>OMM11-YL58_E1_AF_W3</t>
  </si>
  <si>
    <t>OMM12_E1_AF_W1</t>
  </si>
  <si>
    <t>OMM12_E1_AF_W2</t>
  </si>
  <si>
    <t>OMM12_E1_AF_W3</t>
  </si>
  <si>
    <t>OMM11-KB1_E2_AF_W1</t>
  </si>
  <si>
    <t>OMM11-KB1_E2_AF_W2</t>
  </si>
  <si>
    <t>OMM11-KB1_E2_AF_W3</t>
  </si>
  <si>
    <t>OMM11-KB18_E2_AF_W1</t>
  </si>
  <si>
    <t>OMM11-KB18_E2_AF_W2</t>
  </si>
  <si>
    <t>OMM11-KB18_E2_AF_W3</t>
  </si>
  <si>
    <t>OMM11-YL2_E2_AF_W1</t>
  </si>
  <si>
    <t>OMM11-YL2_E2_AF_W2</t>
  </si>
  <si>
    <t>OMM11-YL2_E2_AF_W3</t>
  </si>
  <si>
    <t>OMM11-YL27_E2_AF_W1</t>
  </si>
  <si>
    <t>OMM11-YL27_E2_AF_W2</t>
  </si>
  <si>
    <t>OMM11-YL27_E2_AF_W3</t>
  </si>
  <si>
    <t>OMM11-YL31_E2_AF_W1</t>
  </si>
  <si>
    <t>OMM11-YL31_E2_AF_W2</t>
  </si>
  <si>
    <t>OMM11-YL31_E2_AF_W3</t>
  </si>
  <si>
    <t>OMM11-YL32_E2_AF_W1</t>
  </si>
  <si>
    <t>OMM11-YL32_E2_AF_W2</t>
  </si>
  <si>
    <t>OMM11-YL32_E2_AF_W3</t>
  </si>
  <si>
    <t>OMM11-YL44_E2_AF_W1</t>
  </si>
  <si>
    <t>OMM11-YL44_E2_AF_W2</t>
  </si>
  <si>
    <t>OMM11-YL44_E2_AF_W3</t>
  </si>
  <si>
    <t>OMM11-YL45_E2_AF_W1</t>
  </si>
  <si>
    <t>OMM11-YL45_E2_AF_W2</t>
  </si>
  <si>
    <t>OMM11-YL45_E2_AF_W3</t>
  </si>
  <si>
    <t>OMM11-I46_E2_AF_W1</t>
  </si>
  <si>
    <t>OMM11-I46_E2_AF_W2</t>
  </si>
  <si>
    <t>OMM11-I46_E2_AF_W3</t>
  </si>
  <si>
    <t>OMM11-I48_E2_AF_W1</t>
  </si>
  <si>
    <t>OMM11-I48_E2_AF_W2</t>
  </si>
  <si>
    <t>OMM11-I48_E2_AF_W3</t>
  </si>
  <si>
    <t>OMM11-I49_E2_AF_W1</t>
  </si>
  <si>
    <t>OMM11-I49_E2_AF_W2</t>
  </si>
  <si>
    <t>OMM11-I49_E2_AF_W3</t>
  </si>
  <si>
    <t>OMM11-YL58_E2_AF_W1</t>
  </si>
  <si>
    <t>OMM11-YL58_E2_AF_W2</t>
  </si>
  <si>
    <t>OMM11-YL58_E2_AF_W3</t>
  </si>
  <si>
    <t>OMM12_E2_AF_W1</t>
  </si>
  <si>
    <t>OMM12_E2_AF_W2</t>
  </si>
  <si>
    <t>OMM12_E2_AF_W3</t>
  </si>
  <si>
    <t>OMM11-KB1_E3_APF_W1</t>
  </si>
  <si>
    <t>OMM11-KB1_E3_APF_W3</t>
  </si>
  <si>
    <t>OMM11-YL2_E3_APF_W1</t>
  </si>
  <si>
    <t>OMM11-YL2_E3_APF_W2</t>
  </si>
  <si>
    <t>OMM11-YL2_E3_APF_W3</t>
  </si>
  <si>
    <t>OMM11-KB18_E3_APF_W1</t>
  </si>
  <si>
    <t>OMM11-KB18_E3_APF_W2</t>
  </si>
  <si>
    <t>OMM11-KB18_E3_APF_W3</t>
  </si>
  <si>
    <t>OMM11-YL27_E3_APF_W1</t>
  </si>
  <si>
    <t>OMM11-YL27_E3_APF_W2</t>
  </si>
  <si>
    <t>OMM11-YL27_E3_APF_W3</t>
  </si>
  <si>
    <t>OMM11-YL31_E3_APF_W1</t>
  </si>
  <si>
    <t>OMM11-YL31_E3_APF_W2</t>
  </si>
  <si>
    <t>OMM11-YL31_E3_APF_W3</t>
  </si>
  <si>
    <t>OMM11-YL32_E3_APF_W1</t>
  </si>
  <si>
    <t>OMM11-YL32_E3_APF_W2</t>
  </si>
  <si>
    <t>OMM11-YL32_E3_APF_W3</t>
  </si>
  <si>
    <t>OMM11-YL44_E3_APF_W1</t>
  </si>
  <si>
    <t>OMM11-YL44_E3_APF_W2</t>
  </si>
  <si>
    <t>OMM11-YL44_E3_APF_W3</t>
  </si>
  <si>
    <t>OMM11-YL45_E3_APF_W1</t>
  </si>
  <si>
    <t>OMM11-YL45_E3_APF_W2</t>
  </si>
  <si>
    <t>OMM11-YL45_E3_APF_W3</t>
  </si>
  <si>
    <t>OMM11-I46_E3_APF_W1</t>
  </si>
  <si>
    <t>OMM11-I46_E3_APF_W2</t>
  </si>
  <si>
    <t>OMM11-I46_E3_APF_W3</t>
  </si>
  <si>
    <t>OMM11-I48_E3_APF_W1</t>
  </si>
  <si>
    <t>OMM11-I48_E3_APF_W2</t>
  </si>
  <si>
    <t>OMM11-I48_E3_APF_W3</t>
  </si>
  <si>
    <t>OMM11-I49_E3_APF_W1</t>
  </si>
  <si>
    <t>OMM11-I49_E3_APF_W2</t>
  </si>
  <si>
    <t>OMM11-I49_E3_APF_W3</t>
  </si>
  <si>
    <t>OMM11-YL58_E3_APF_W1</t>
  </si>
  <si>
    <t>OMM11-YL58_E3_APF_W2</t>
  </si>
  <si>
    <t>OMM11-YL58_E3_APF_W3</t>
  </si>
  <si>
    <t>OMM12_E3_APF_W1</t>
  </si>
  <si>
    <t>OMM12_E3_APF_W2</t>
  </si>
  <si>
    <t>OMM12_E3_APF_W3</t>
  </si>
  <si>
    <t>OMM12_E1_APF_W1</t>
  </si>
  <si>
    <t>OMM12_E1_APF_W2</t>
  </si>
  <si>
    <t>OMM12_E1_APF_W3</t>
  </si>
  <si>
    <t>OMM11-KB1_E1_APF_W1</t>
  </si>
  <si>
    <t>OMM11-KB1_E1_APF_W2</t>
  </si>
  <si>
    <t>OMM11-KB1_E1_APF_W3</t>
  </si>
  <si>
    <t>OMM11-YL2_E1_APF_W1</t>
  </si>
  <si>
    <t>OMM11-YL2_E1_APF_W2</t>
  </si>
  <si>
    <t>OMM11-YL2_E1_APF_W3</t>
  </si>
  <si>
    <t>OMM11-KB18_E1_APF_W1</t>
  </si>
  <si>
    <t>OMM11-KB18_E1_APF_W2</t>
  </si>
  <si>
    <t>OMM11-KB18_E1_APF_W3</t>
  </si>
  <si>
    <t>OMM11-YL27_E1_APF_W1</t>
  </si>
  <si>
    <t>OMM11-YL27_E1_APF_W2</t>
  </si>
  <si>
    <t>OMM11-YL27_E1_APF_W3</t>
  </si>
  <si>
    <t>OMM11-YL31_E1_APF_W1</t>
  </si>
  <si>
    <t>OMM11-YL31_E1_APF_W2</t>
  </si>
  <si>
    <t>OMM11-YL31_E1_APF_W3</t>
  </si>
  <si>
    <t>OMM11-YL32_E1_APF_W1</t>
  </si>
  <si>
    <t>OMM11-YL32_E1_APF_W2</t>
  </si>
  <si>
    <t>OMM11-YL32_E1_APF_W3</t>
  </si>
  <si>
    <t>OMM11-YL45_E1_APF_W1</t>
  </si>
  <si>
    <t>OMM11-YL45_E1_APF_W2</t>
  </si>
  <si>
    <t>OMM11-YL45_E1_APF_W3</t>
  </si>
  <si>
    <t>OMM11-I46_E1_APF_W1</t>
  </si>
  <si>
    <t>OMM11-I46_E1_APF_W2</t>
  </si>
  <si>
    <t>OMM11-I46_E1_APF_W3</t>
  </si>
  <si>
    <t>OMM11-I49_E1_APF_W1</t>
  </si>
  <si>
    <t>OMM11-I49_E1_APF_W2</t>
  </si>
  <si>
    <t>OMM11-I49_E1_APF_W3</t>
  </si>
  <si>
    <t>OMM11-YL58_E1_APF_W1</t>
  </si>
  <si>
    <t>OMM11-YL58_E1_APF_W2</t>
  </si>
  <si>
    <t>OMM11-YL58_E1_APF_W3</t>
  </si>
  <si>
    <t>OMM11-KB1_E2_APF_W1</t>
  </si>
  <si>
    <t>OMM11-KB1_E2_APF_W2</t>
  </si>
  <si>
    <t>OMM11-KB1_E2_APF_W3</t>
  </si>
  <si>
    <t>OMM11-KB18_E2_APF_W1</t>
  </si>
  <si>
    <t>OMM11-KB18_E2_APF_W2</t>
  </si>
  <si>
    <t>OMM11-KB18_E2_APF_W3</t>
  </si>
  <si>
    <t>OMM11-YL2_E2_APF_W1</t>
  </si>
  <si>
    <t>OMM11-YL2_E2_APF_W2</t>
  </si>
  <si>
    <t>OMM11-YL2_E2_APF_W3</t>
  </si>
  <si>
    <t>OMM11-YL27_E2_APF_W1</t>
  </si>
  <si>
    <t>OMM11-YL27_E2_APF_W2</t>
  </si>
  <si>
    <t>OMM11-YL27_E2_APF_W3</t>
  </si>
  <si>
    <t>OMM11-YL31_E2_APF_W1</t>
  </si>
  <si>
    <t>OMM11-YL31_E2_APF_W3</t>
  </si>
  <si>
    <t>OMM11-YL32_E2_APF_W1</t>
  </si>
  <si>
    <t>OMM11-YL32_E2_APF_W2</t>
  </si>
  <si>
    <t>OMM11-YL32_E2_APF_W3</t>
  </si>
  <si>
    <t>OMM11-YL44_E2_APF_W1</t>
  </si>
  <si>
    <t>OMM11-YL44_E2_APF_W2</t>
  </si>
  <si>
    <t>OMM11-YL44_E2_APF_W3</t>
  </si>
  <si>
    <t>OMM11-YL45_E2_APF_W1</t>
  </si>
  <si>
    <t>OMM11-YL45_E2_APF_W2</t>
  </si>
  <si>
    <t>OMM11-YL45_E2_APF_W3</t>
  </si>
  <si>
    <t>OMM11-I46_E2_APF_W1</t>
  </si>
  <si>
    <t>OMM11-I46_E2_APF_W2</t>
  </si>
  <si>
    <t>OMM11-I46_E2_APF_W3</t>
  </si>
  <si>
    <t>OMM11-I48_E2_APF_W1</t>
  </si>
  <si>
    <t>OMM11-I48_E2_APF_W2</t>
  </si>
  <si>
    <t>OMM11-I48_E2_APF_W3</t>
  </si>
  <si>
    <t>OMM11-I49_E2_APF_W1</t>
  </si>
  <si>
    <t>OMM11-I49_E2_APF_W2</t>
  </si>
  <si>
    <t>OMM11-I49_E2_APF_W3</t>
  </si>
  <si>
    <t>OMM11-YL58_E2_APF_W2</t>
  </si>
  <si>
    <t>OMM11-YL58_E2_APF_W3</t>
  </si>
  <si>
    <t>OMM12_E2_APF_W1</t>
  </si>
  <si>
    <t>OMM12_E2_APF_W2</t>
  </si>
  <si>
    <t>OMM12_E2_APF_W3</t>
  </si>
  <si>
    <t>16S corr</t>
  </si>
  <si>
    <t>OMM12_E3_APFmod_W1</t>
  </si>
  <si>
    <t>OMM12_E3_APFmod_W2</t>
  </si>
  <si>
    <t>OMM12_E3_APFmod_W3</t>
  </si>
  <si>
    <t>OMM11-I48_E2_APFmod_W1</t>
  </si>
  <si>
    <t>OMM11-I48_E2_APFmod_W2</t>
  </si>
  <si>
    <t>OMM11-I48_E2_APFmod_W3</t>
  </si>
  <si>
    <t>OMM11-I48_E3_APFmod_W1</t>
  </si>
  <si>
    <t>OMM11-I48_E3_APFmod_W2</t>
  </si>
  <si>
    <t>OMM11-I48_E3_APFmod_W3</t>
  </si>
  <si>
    <t>OMM12_E1_APFmod_W1</t>
  </si>
  <si>
    <t>OMM12_E1_APFmod_W2</t>
  </si>
  <si>
    <t>OMM12_E1_APFmod_W3</t>
  </si>
  <si>
    <t>OMM12_E2_APFmod_W1</t>
  </si>
  <si>
    <t>OMM12_E2_APFmod_W2</t>
  </si>
  <si>
    <t>OMM12_E2_APFmod_W3</t>
  </si>
  <si>
    <t>OMM11-I48_E1_APFmod_W1</t>
  </si>
  <si>
    <t>OMM11-I48_E1_APFmod_W2</t>
  </si>
  <si>
    <t>OMM11-I48_E1_APFmod_W3</t>
  </si>
  <si>
    <t>OMM11-KB1_E3_GAM_W1</t>
  </si>
  <si>
    <t>OMM11-KB1_E3_GAM_W2</t>
  </si>
  <si>
    <t>OMM11-KB1_E3_GAM_W3</t>
  </si>
  <si>
    <t>OMM12_E3_GAM_W1</t>
  </si>
  <si>
    <t>OMM12_E3_GAM_W2</t>
  </si>
  <si>
    <t>OMM12_E3_GAM_W3</t>
  </si>
  <si>
    <t>OMM12_E1_GAM_W1</t>
  </si>
  <si>
    <t>OMM12_E1_GAM_W2</t>
  </si>
  <si>
    <t>OMM12_E1_GAM_W3</t>
  </si>
  <si>
    <t>OMM11-KB1_E1_GAM_W1</t>
  </si>
  <si>
    <t>OMM11-KB1_E1_GAM_W2</t>
  </si>
  <si>
    <t>OMM11-KB1_E1_GAM_W3</t>
  </si>
  <si>
    <t>OMM12_E2_GAM_W1</t>
  </si>
  <si>
    <t>OMM12_E2_GAM_W2</t>
  </si>
  <si>
    <t>OMM12_E2_GAM_W3</t>
  </si>
  <si>
    <t>OMM11-KB1_E2_GAM_W1</t>
  </si>
  <si>
    <t>OMM11-KB1_E2_GAM_W2</t>
  </si>
  <si>
    <t>OMM11-KB1_E2_GAM_W3</t>
  </si>
  <si>
    <t>OMM12dL50_E1_GAM_W1</t>
  </si>
  <si>
    <t>OMM12dL50_E1_GAM_W2</t>
  </si>
  <si>
    <t>OMM12dL50_E1_GAM_W3</t>
  </si>
  <si>
    <t>OMM12dL50_E2_GAM_W1</t>
  </si>
  <si>
    <t>OMM12dL50_E2_GAM_W2</t>
  </si>
  <si>
    <t>OMM12dL50_E2_GAM_W3</t>
  </si>
  <si>
    <t>OMM12dL50_E3_GAM_W1</t>
  </si>
  <si>
    <t>OMM12dL50_E3_GAM_W2</t>
  </si>
  <si>
    <t>OMM12dL50_E3_GAM_W3</t>
  </si>
  <si>
    <t>OMM12dL50_E1_AF_W1</t>
  </si>
  <si>
    <t>OMM12dL50_E1_AF_W2</t>
  </si>
  <si>
    <t>OMM12dL50_E1_AF_W3</t>
  </si>
  <si>
    <t>OMM12dL50_E2_AF_W1</t>
  </si>
  <si>
    <t>OMM12dL50_E2_AF_W2</t>
  </si>
  <si>
    <t>OMM12dL50_E2_AF_W3</t>
  </si>
  <si>
    <t>OMM12dL50_E3_AF_W1</t>
  </si>
  <si>
    <t>OMM12dL50_E3_AF_W2</t>
  </si>
  <si>
    <t>OMM12dL50_E3_AF_W3</t>
  </si>
  <si>
    <t>OMM12dL50_E1_APF_W1</t>
  </si>
  <si>
    <t>OMM12dL50_E1_APF_W2</t>
  </si>
  <si>
    <t>OMM12dL50_E1_APF_W3</t>
  </si>
  <si>
    <t>OMM12dL50_E2_APF_W1</t>
  </si>
  <si>
    <t>OMM12dL50_E2_APF_W2</t>
  </si>
  <si>
    <t>OMM12dL50_E2_APF_W3</t>
  </si>
  <si>
    <t>OMM12dL50_E3_APF_W1</t>
  </si>
  <si>
    <t>OMM12dL50_E3_APF_W2</t>
  </si>
  <si>
    <t>OMM12dL50_E3_APF_W3</t>
  </si>
  <si>
    <t>OMM11-KB1_E3_TYG_W1</t>
  </si>
  <si>
    <t>OMM11-KB1_E3_TYG_W2</t>
  </si>
  <si>
    <t>OMM11-KB1_E3_TYG_W3</t>
  </si>
  <si>
    <t>OMM11-KB1_E3_YCFA_W1</t>
  </si>
  <si>
    <t>OMM11-KB1_E3_YCFA_W2</t>
  </si>
  <si>
    <t>OMM11-KB1_E3_YCFA_W3</t>
  </si>
  <si>
    <t>OMM11-I48_E3_GAM_W1</t>
  </si>
  <si>
    <t>OMM11-I48_E3_GAM_W2</t>
  </si>
  <si>
    <t>OMM11-I48_E3_GAM_W3</t>
  </si>
  <si>
    <t>OMM11-I48_E3_TYG_W1</t>
  </si>
  <si>
    <t>OMM11-I48_E3_TYG_W3</t>
  </si>
  <si>
    <t>OMM11-I48_E3_YCFA_W2</t>
  </si>
  <si>
    <t>OMM11-I48_E3_YCFA_W3</t>
  </si>
  <si>
    <t>OMM11-YL58_E3_GAM_W2</t>
  </si>
  <si>
    <t>OMM11-YL58_E3_GAM_W3</t>
  </si>
  <si>
    <t>OMM11-YL58_E3_TYG_W1</t>
  </si>
  <si>
    <t>OMM11-YL58_E3_TYG_W2</t>
  </si>
  <si>
    <t>OMM11-YL58_E3_TYG_W3</t>
  </si>
  <si>
    <t>OMM11-YL58_E3_YCFA_W1</t>
  </si>
  <si>
    <t>OMM11-YL58_E3_YCFA_W2</t>
  </si>
  <si>
    <t>OMM11-YL58_E3_YCFA_W3</t>
  </si>
  <si>
    <t>OMM12_E3_TYG_W1</t>
  </si>
  <si>
    <t>OMM12_E3_TYG_W2</t>
  </si>
  <si>
    <t>OMM12_E3_TYG_W3</t>
  </si>
  <si>
    <t>OMM12_E3_YCFA_W1</t>
  </si>
  <si>
    <t>OMM12_E3_YCFA_W2</t>
  </si>
  <si>
    <t>OMM12_E3_YCFA_W3</t>
  </si>
  <si>
    <t>OMM12_E1_TYG_W1</t>
  </si>
  <si>
    <t>OMM12_E1_TYG_W2</t>
  </si>
  <si>
    <t>OMM12_E1_TYG_W3</t>
  </si>
  <si>
    <t>OMM12_E1_YCFA_W1</t>
  </si>
  <si>
    <t>OMM12_E1_YCFA_W2</t>
  </si>
  <si>
    <t>OMM12_E1_YCFA_W3</t>
  </si>
  <si>
    <t>OMM11-I48_E1_GAM_W1</t>
  </si>
  <si>
    <t>OMM11-I48_E1_GAM_W2</t>
  </si>
  <si>
    <t>OMM11-I48_E1_GAM_W3</t>
  </si>
  <si>
    <t>OMM11-I48_E1_TYG_W1</t>
  </si>
  <si>
    <t>OMM11-I48_E1_TYG_W2</t>
  </si>
  <si>
    <t>OMM11-I48_E1_TYG_W3</t>
  </si>
  <si>
    <t>OMM11-I48_E1_YCFA_W1</t>
  </si>
  <si>
    <t>OMM11-I48_E1_YCFA_W2</t>
  </si>
  <si>
    <t>OMM11-I48_E1_YCFA_W3</t>
  </si>
  <si>
    <t>OMM11-KB1_E1_TYG_W1</t>
  </si>
  <si>
    <t>OMM11-KB1_E1_TYG_W2</t>
  </si>
  <si>
    <t>OMM11-KB1_E1_TYG_W3</t>
  </si>
  <si>
    <t>OMM11-KB1_E1_YCFA_W1</t>
  </si>
  <si>
    <t>OMM11-KB1_E1_YCFA_W2</t>
  </si>
  <si>
    <t>OMM11-KB1_E1_YCFA_W3</t>
  </si>
  <si>
    <t>OMM11-YL58_E1_GAM_W1</t>
  </si>
  <si>
    <t>OMM11-YL58_E1_GAM_W2</t>
  </si>
  <si>
    <t>OMM11-YL58_E1_GAM_W3</t>
  </si>
  <si>
    <t>OMM11-YL58_E1_TYG_W1</t>
  </si>
  <si>
    <t>OMM11-YL58_E1_TYG_W2</t>
  </si>
  <si>
    <t>OMM11-YL58_E1_TYG_W3</t>
  </si>
  <si>
    <t>OMM11-YL58_E1_YCFA_W1</t>
  </si>
  <si>
    <t>OMM11-YL58_E1_YCFA_W2</t>
  </si>
  <si>
    <t>OMM11-YL58_E1_YCFA_W3</t>
  </si>
  <si>
    <t>OMM12_E2_TYG_W1</t>
  </si>
  <si>
    <t>OMM12_E2_TYG_W2</t>
  </si>
  <si>
    <t>OMM12_E2_TYG_W3</t>
  </si>
  <si>
    <t>OMM12_E2_YCFA_W1</t>
  </si>
  <si>
    <t>OMM12_E2_YCFA_W2</t>
  </si>
  <si>
    <t>OMM12_E2_YCFA_W3</t>
  </si>
  <si>
    <t>OMM11-I48_E2_GAM_W1</t>
  </si>
  <si>
    <t>OMM11-I48_E2_GAM_W2</t>
  </si>
  <si>
    <t>OMM11-I48_E2_GAM_W3</t>
  </si>
  <si>
    <t>OMM11-I48_E2_TYG_W1</t>
  </si>
  <si>
    <t>OMM11-I48_E2_TYG_W2</t>
  </si>
  <si>
    <t>OMM11-I48_E2_TYG_W3</t>
  </si>
  <si>
    <t>OMM11-I48_E2_YCFA_W1</t>
  </si>
  <si>
    <t>OMM11-I48_E2_YCFA_W2</t>
  </si>
  <si>
    <t>OMM11-I48_E2_YCFA_W3</t>
  </si>
  <si>
    <t>OMM11-KB1_E2_TYG_W1</t>
  </si>
  <si>
    <t>OMM11-KB1_E2_TYG_W2</t>
  </si>
  <si>
    <t>OMM11-KB1_E2_TYG_W3</t>
  </si>
  <si>
    <t>OMM11-KB1_E2_YCFA_W1</t>
  </si>
  <si>
    <t>OMM11-KB1_E2_YCFA_W2</t>
  </si>
  <si>
    <t>OMM11-KB1_E2_YCFA_W3</t>
  </si>
  <si>
    <t>OMM11-YL58_E2_GAM_W1</t>
  </si>
  <si>
    <t>OMM11-YL58_E2_GAM_W2</t>
  </si>
  <si>
    <t>OMM11-YL58_E2_GAM_W3</t>
  </si>
  <si>
    <t>OMM11-YL58_E2_TYG_W1</t>
  </si>
  <si>
    <t>OMM11-YL58_E2_TYG_W2</t>
  </si>
  <si>
    <t>OMM11-YL58_E2_TYG_W3</t>
  </si>
  <si>
    <t>OMM11-YL58_E2_YCFA_W1</t>
  </si>
  <si>
    <t>OMM11-YL58_E2_YCFA_W2</t>
  </si>
  <si>
    <t>OMM11-YL58_E2_YCFA_W3</t>
  </si>
  <si>
    <t>sample</t>
  </si>
  <si>
    <t>deltapH_1</t>
  </si>
  <si>
    <t>deltapH_2</t>
  </si>
  <si>
    <t>deltpH_3</t>
  </si>
  <si>
    <t>OMM11-KB1_GAM_W1</t>
  </si>
  <si>
    <t>OMM11-KB1_GAM_W2</t>
  </si>
  <si>
    <t>OMM11-KB1_GAM_W3</t>
  </si>
  <si>
    <t>OMM11-I48_GAM_W1</t>
  </si>
  <si>
    <t>NA</t>
  </si>
  <si>
    <t>OMM11-I48_GAM_W2</t>
  </si>
  <si>
    <t>OMM11-I48_GAM_W3</t>
  </si>
  <si>
    <t>OMM11-YL58_GAM_W1</t>
  </si>
  <si>
    <t>OMM11-YL58_GAM_W2</t>
  </si>
  <si>
    <t>OMM11-YL58_GAM_W3</t>
  </si>
  <si>
    <t>OMM12_GAM_W1</t>
  </si>
  <si>
    <t>OMM12_GAM_W2</t>
  </si>
  <si>
    <t>OMM12_GAM_W3</t>
  </si>
  <si>
    <t>OMM11-KB1_TYG_W1</t>
  </si>
  <si>
    <t>OMM11-KB1_TYG_W2</t>
  </si>
  <si>
    <t>OMM11-KB1_TYG_W3</t>
  </si>
  <si>
    <t>OMM11-I48_TYG_W1</t>
  </si>
  <si>
    <t>OMM11-I48_TYG_W2</t>
  </si>
  <si>
    <t>OMM11-I48_TYG_W3</t>
  </si>
  <si>
    <t>OMM11-YL58_TYG_W1</t>
  </si>
  <si>
    <t>OMM11-YL58_TYG_W2</t>
  </si>
  <si>
    <t>OMM11-YL58_TYG_W3</t>
  </si>
  <si>
    <t>OMM12_TYG_W1</t>
  </si>
  <si>
    <t>OMM12_TYG_W2</t>
  </si>
  <si>
    <t>OMM12_TYG_W3</t>
  </si>
  <si>
    <t>OMM11-KB1_YCFA_W1</t>
  </si>
  <si>
    <t>OMM11-KB1_YCFA_W2</t>
  </si>
  <si>
    <t>OMM11-KB1_YCFA_W3</t>
  </si>
  <si>
    <t>OMM11-I48_YCFA_W1</t>
  </si>
  <si>
    <t>OMM11-I48_YCFA_W2</t>
  </si>
  <si>
    <t>OMM11-I48_YCFA_W3</t>
  </si>
  <si>
    <t>OMM11-YL58_YCFA_W1</t>
  </si>
  <si>
    <t>OMM11-YL58_YCFA_W2</t>
  </si>
  <si>
    <t>OMM11-YL58_YCFA_W3</t>
  </si>
  <si>
    <t>OMM12_YCFA_W1</t>
  </si>
  <si>
    <t>OMM12_YCFA_W2</t>
  </si>
  <si>
    <t>OMM12_YCFA_W3</t>
  </si>
  <si>
    <t>OMM11-KB1_AF_W1</t>
  </si>
  <si>
    <t>OMM11-KB1_AF_W2</t>
  </si>
  <si>
    <t>OMM11-KB1_AF_W3</t>
  </si>
  <si>
    <t>OMM11-YL2_AF_W1</t>
  </si>
  <si>
    <t>OMM11-YL2_AF_W2</t>
  </si>
  <si>
    <t>OMM11-YL2_AF_W3</t>
  </si>
  <si>
    <t>OMM11-KB18_AF_W1</t>
  </si>
  <si>
    <t>OMM11-KB18_AF_W2</t>
  </si>
  <si>
    <t>OMM11-KB18_AF_W3</t>
  </si>
  <si>
    <t>OMM11-YL27_AF_W1</t>
  </si>
  <si>
    <t>OMM11-YL27_AF_W2</t>
  </si>
  <si>
    <t>OMM11-YL27_AF_W3</t>
  </si>
  <si>
    <t>OMM11-YL31_AF_W1</t>
  </si>
  <si>
    <t>OMM11-YL31_AF_W2</t>
  </si>
  <si>
    <t>OMM11-YL31_AF_W3</t>
  </si>
  <si>
    <t>OMM11-YL32_AF_W1</t>
  </si>
  <si>
    <t>OMM11-YL32_AF_W2</t>
  </si>
  <si>
    <t>OMM11-YL32_AF_W3</t>
  </si>
  <si>
    <t>OMM11-YL44_AF_W1</t>
  </si>
  <si>
    <t>OMM11-YL44_AF_W2</t>
  </si>
  <si>
    <t>OMM11-YL44_AF_W3</t>
  </si>
  <si>
    <t>OMM11-YL45_AF_W1</t>
  </si>
  <si>
    <t>OMM11-YL45_AF_W2</t>
  </si>
  <si>
    <t>OMM11-YL45_AF_W3</t>
  </si>
  <si>
    <t>OMM11-I46_AF_W1</t>
  </si>
  <si>
    <t>OMM11-I46_AF_W2</t>
  </si>
  <si>
    <t>OMM11-I46_AF_W3</t>
  </si>
  <si>
    <t>OMM11-I48_AF_W1</t>
  </si>
  <si>
    <t>OMM11-I48_AF_W2</t>
  </si>
  <si>
    <t>OMM11-I48_AF_W3</t>
  </si>
  <si>
    <t>OMM11-I49_AF_W1</t>
  </si>
  <si>
    <t>OMM11-I49_AF_W2</t>
  </si>
  <si>
    <t>OMM11-I49_AF_W3</t>
  </si>
  <si>
    <t>OMM11-YL58_AF_W1</t>
  </si>
  <si>
    <t>OMM11-YL58_AF_W2</t>
  </si>
  <si>
    <t>OMM11-YL58_AF_W3</t>
  </si>
  <si>
    <t>OMM12_AF_W1</t>
  </si>
  <si>
    <t>OMM12_AF_W2</t>
  </si>
  <si>
    <t>OMM12_AF_W3</t>
  </si>
  <si>
    <t>OMM11-KB1_APF_W1</t>
  </si>
  <si>
    <t>OMM11-KB1_APF_W2</t>
  </si>
  <si>
    <t>OMM11-KB1_APF_W3</t>
  </si>
  <si>
    <t>OMM11-YL2_APF_W1</t>
  </si>
  <si>
    <t>OMM11-YL2_APF_W2</t>
  </si>
  <si>
    <t>OMM11-YL2_APF_W3</t>
  </si>
  <si>
    <t>OMM11-KB18_APF_W1</t>
  </si>
  <si>
    <t>OMM11-KB18_APF_W2</t>
  </si>
  <si>
    <t>OMM11-KB18_APF_W3</t>
  </si>
  <si>
    <t>OMM11-YL27_APF_W1</t>
  </si>
  <si>
    <t>OMM11-YL27_APF_W2</t>
  </si>
  <si>
    <t>OMM11-YL27_APF_W3</t>
  </si>
  <si>
    <t>OMM11-YL31_APF_W1</t>
  </si>
  <si>
    <t>OMM11-YL31_APF_W2</t>
  </si>
  <si>
    <t>OMM11-YL31_APF_W3</t>
  </si>
  <si>
    <t>OMM11-YL32_APF_W1</t>
  </si>
  <si>
    <t>OMM11-YL32_APF_W2</t>
  </si>
  <si>
    <t>OMM11-YL32_APF_W3</t>
  </si>
  <si>
    <t>OMM11-YL44_APF_W1</t>
  </si>
  <si>
    <t>OMM11-YL44_APF_W2</t>
  </si>
  <si>
    <t>OMM11-YL44_APF_W3</t>
  </si>
  <si>
    <t>OMM11-YL45_APF_W1</t>
  </si>
  <si>
    <t>OMM11-YL45_APF_W2</t>
  </si>
  <si>
    <t>OMM11-YL45_APF_W3</t>
  </si>
  <si>
    <t>OMM11-I46_APF_W1</t>
  </si>
  <si>
    <t>OMM11-I46_APF_W2</t>
  </si>
  <si>
    <t>OMM11-I46_APF_W3</t>
  </si>
  <si>
    <t>OMM11-I48_APF_W1</t>
  </si>
  <si>
    <t>OMM11-I48_APF_W2</t>
  </si>
  <si>
    <t>OMM11-I48_APF_W3</t>
  </si>
  <si>
    <t>OMM11-I49_APF_W1</t>
  </si>
  <si>
    <t>OMM11-I49_APF_W2</t>
  </si>
  <si>
    <t>OMM11-I49_APF_W3</t>
  </si>
  <si>
    <t>OMM11-YL58_APF_W1</t>
  </si>
  <si>
    <t>OMM11-YL58_APF_W2</t>
  </si>
  <si>
    <t>OMM11-YL58_APF_W3</t>
  </si>
  <si>
    <t>OMM12_APF_W1</t>
  </si>
  <si>
    <t>OMM12_APF_W2</t>
  </si>
  <si>
    <t>OMM12_APF_W3</t>
  </si>
  <si>
    <t>OMM11-I48_APFmod_W1</t>
  </si>
  <si>
    <t>OMM11-I48_APFmod_W2</t>
  </si>
  <si>
    <t>OMM11-I48_APFmod_W3</t>
  </si>
  <si>
    <t>OMM12_APFmod_W1</t>
  </si>
  <si>
    <t>OMM12_APFmod_W2</t>
  </si>
  <si>
    <t>OMM12_APFmod_W3</t>
  </si>
  <si>
    <t>Acetic acid</t>
  </si>
  <si>
    <t>Propionic acid</t>
  </si>
  <si>
    <t>Butyric acid</t>
  </si>
  <si>
    <t>Isobutyric acid</t>
  </si>
  <si>
    <t>2-Methylbutyric acid</t>
  </si>
  <si>
    <t>Isovaleric acid</t>
  </si>
  <si>
    <t>Valeric acid</t>
  </si>
  <si>
    <t>4-Methyl valeric acid</t>
  </si>
  <si>
    <t>Lactic acid</t>
  </si>
  <si>
    <t xml:space="preserve">Desaminotyrosine </t>
  </si>
  <si>
    <t>Blank_AF_S1_W1</t>
  </si>
  <si>
    <t>Blank_AF_S2_W1</t>
  </si>
  <si>
    <t>Blank_AF_S3_W1</t>
  </si>
  <si>
    <t>Blank_APF_S1_W1</t>
  </si>
  <si>
    <t>Blank_APF_S2_W1</t>
  </si>
  <si>
    <t>Blank_APF_S3_W1</t>
  </si>
  <si>
    <t>OMM11-I46_AF_S1_W1</t>
  </si>
  <si>
    <t>OMM11-I46_AF_S2_W1</t>
  </si>
  <si>
    <t>OMM11-I46_AF_S3_W1</t>
  </si>
  <si>
    <t>OMM11-I46_APF_S1_W1</t>
  </si>
  <si>
    <t>OMM11-I46_APF_S2_W1</t>
  </si>
  <si>
    <t>OMM11-I46_APF_S3_W1</t>
  </si>
  <si>
    <t>OMM11-I48_AF_S1_W1</t>
  </si>
  <si>
    <t>OMM11-I48_AF_S2_W1</t>
  </si>
  <si>
    <t>OMM11-I48_AF_S3_W1</t>
  </si>
  <si>
    <t>OMM11-I48_APF_S1_W1</t>
  </si>
  <si>
    <t>OMM11-I48_APF_S2_W1</t>
  </si>
  <si>
    <t>OMM11-I48_APFmod_S1_W1</t>
  </si>
  <si>
    <t>OMM11-I48_APFmod_S3_W1</t>
  </si>
  <si>
    <t>OMM11-I49_AF_S1_W1</t>
  </si>
  <si>
    <t>OMM11-I49_AF_S2_W1</t>
  </si>
  <si>
    <t>OMM11-I49_AF_S3_W1</t>
  </si>
  <si>
    <t>OMM11-I49_APF_S1_W1</t>
  </si>
  <si>
    <t>OMM11-I49_APF_S2_W1</t>
  </si>
  <si>
    <t>OMM11-I49_APF_S3_W1</t>
  </si>
  <si>
    <t>OMM11-KB1_AF_S1_W1</t>
  </si>
  <si>
    <t>OMM11-KB1_AF_S2_W1</t>
  </si>
  <si>
    <t>OMM11-KB1_AF_S3_W1</t>
  </si>
  <si>
    <t>OMM11-KB1_APF_S1_W1</t>
  </si>
  <si>
    <t>OMM11-KB1_APF_S2_W1</t>
  </si>
  <si>
    <t>OMM11-KB1_APF_S3_W1</t>
  </si>
  <si>
    <t>OMM11-KB18_AF_S1_W1</t>
  </si>
  <si>
    <t>OMM11-KB18_AF_S2_W1</t>
  </si>
  <si>
    <t>OMM11-KB18_AF_S3_W1</t>
  </si>
  <si>
    <t>OMM11-KB18_APF_S1_W1</t>
  </si>
  <si>
    <t>OMM11-KB18_APF_S2_W1</t>
  </si>
  <si>
    <t>OMM11-KB18_APF_S3_W1</t>
  </si>
  <si>
    <t>OMM11-YL2_AF_S1_W1</t>
  </si>
  <si>
    <t>OMM11-YL2_AF_S2_W1</t>
  </si>
  <si>
    <t>OMM11-YL2_AF_S3_W1</t>
  </si>
  <si>
    <t>OMM11-YL2_APF_S1_W1</t>
  </si>
  <si>
    <t>OMM11-YL2_APF_S2_W1</t>
  </si>
  <si>
    <t>OMM11-YL2_APF_S3_W1</t>
  </si>
  <si>
    <t>OMM11-YL27_AF_S1_W1</t>
  </si>
  <si>
    <t>OMM11-YL27_AF_S2_W1</t>
  </si>
  <si>
    <t>OMM11-YL27_AF_S3_W1</t>
  </si>
  <si>
    <t>OMM11-YL27_APF_S1_W1</t>
  </si>
  <si>
    <t>OMM11-YL27_APF_S2_W1</t>
  </si>
  <si>
    <t>OMM11-YL27_APF_S3_W1</t>
  </si>
  <si>
    <t>OMM11-YL31_AF_S1_W1</t>
  </si>
  <si>
    <t>OMM11-YL31_AF_S2_W1</t>
  </si>
  <si>
    <t>OMM11-YL31_AF_S3_W1</t>
  </si>
  <si>
    <t>OMM11-YL31_APF_S1_W1</t>
  </si>
  <si>
    <t>OMM11-YL31_APF_S2_W1</t>
  </si>
  <si>
    <t>OMM11-YL31_APF_S3_W1</t>
  </si>
  <si>
    <t>OMM11-YL32_AF_S1_W1</t>
  </si>
  <si>
    <t>OMM11-YL32_AF_S2_W1</t>
  </si>
  <si>
    <t>OMM11-YL32_AF_S3_W1</t>
  </si>
  <si>
    <t>OMM11-YL32_APF_S1_W1</t>
  </si>
  <si>
    <t>OMM11-YL32_APF_S2_W1</t>
  </si>
  <si>
    <t>OMM11-YL32_APF_S3_W1</t>
  </si>
  <si>
    <t>OMM11-YL44_AF_S1_W1</t>
  </si>
  <si>
    <t>OMM11-YL44_AF_S2_W1</t>
  </si>
  <si>
    <t>OMM11-YL44_AF_S3_W1</t>
  </si>
  <si>
    <t>OMM11-YL44_APF_S1_W1</t>
  </si>
  <si>
    <t>OMM11-YL44_APF_S2_W1</t>
  </si>
  <si>
    <t>OMM11-YL44_APF_S3_W1</t>
  </si>
  <si>
    <t>OMM11-YL45_AF_S1_W1</t>
  </si>
  <si>
    <t>OMM11-YL45_AF_S2_W1</t>
  </si>
  <si>
    <t>OMM11-YL45_AF_S3_W1</t>
  </si>
  <si>
    <t>OMM11-YL45_APF_S1_W1</t>
  </si>
  <si>
    <t>OMM11-YL45_APF_S2_W1</t>
  </si>
  <si>
    <t>OMM11-YL45_APF_S3_W1</t>
  </si>
  <si>
    <t>OMM11-YL58_AF_S1_W1</t>
  </si>
  <si>
    <t>OMM11-YL58_AF_S2_W1</t>
  </si>
  <si>
    <t>OMM11-YL58_AF_S3_W1</t>
  </si>
  <si>
    <t>OMM11-YL58_APF_S1_W1</t>
  </si>
  <si>
    <t>OMM11-YL58_APF_S2_W1</t>
  </si>
  <si>
    <t>OMM11-YL58_APF_S3_W1</t>
  </si>
  <si>
    <t>OMM12_AF_S1_W1</t>
  </si>
  <si>
    <t>OMM12_AF_S2_W1</t>
  </si>
  <si>
    <t>OMM12_AF_S3_W1</t>
  </si>
  <si>
    <t>OMM12_APF_S1_W1</t>
  </si>
  <si>
    <t>OMM12_APF_S2_W1</t>
  </si>
  <si>
    <t>OMM12_APF_S3_W1</t>
  </si>
  <si>
    <t>OMM12_APFmod_S1_W1</t>
  </si>
  <si>
    <t>OMM12_APFmod_S2_W1</t>
  </si>
  <si>
    <t>OMM12_APFmod_S3_W1</t>
  </si>
  <si>
    <t>Blank_APFmod_S1_W1</t>
  </si>
  <si>
    <t>Blank_APFmod_S2_W1</t>
  </si>
  <si>
    <t>Blank_APFmod_S3_W1</t>
  </si>
  <si>
    <t xml:space="preserve">Indolcarboxaldehyde </t>
  </si>
  <si>
    <t>OMM12</t>
  </si>
  <si>
    <t>OMM11-KB1</t>
  </si>
  <si>
    <t>OMM11-I48</t>
  </si>
  <si>
    <t>OMM11-YL58</t>
  </si>
  <si>
    <t>Futter</t>
  </si>
  <si>
    <t>Futter_1</t>
  </si>
  <si>
    <t>Futter_2</t>
  </si>
  <si>
    <t>Futter_3</t>
  </si>
  <si>
    <t>mouse#</t>
  </si>
  <si>
    <t>colonization</t>
  </si>
  <si>
    <t>absab_16Scorr</t>
  </si>
  <si>
    <t>TV287_D20_Ce_2476_OMM12</t>
  </si>
  <si>
    <t>TV287_D20_Ce_2477_OMM12</t>
  </si>
  <si>
    <t>TV287_D20_Ce_2478_OMM12</t>
  </si>
  <si>
    <t>TV287_D20_Ce_2479_OMM-KB1</t>
  </si>
  <si>
    <t>TV287_D20_Ce_2480_OMM-KB1</t>
  </si>
  <si>
    <t>TV287_D20_Ce_2481_OMM-KB1</t>
  </si>
  <si>
    <t>TV287_D20_Ce_2482_OMM-KB1</t>
  </si>
  <si>
    <t>TV287_D20_Ce_2484_OMM-I48</t>
  </si>
  <si>
    <t>TV287_D20_Ce_2485_OMM-I48</t>
  </si>
  <si>
    <t>TV287_D20_Ce_2486_OMM-I48</t>
  </si>
  <si>
    <t>TV287_D20_Ce_2487_OMM-I48</t>
  </si>
  <si>
    <t>TV287_D20_Co_2476_OMM12</t>
  </si>
  <si>
    <t>TV287_D20_Co_2477_OMM12</t>
  </si>
  <si>
    <t>TV287_D20_Co_2478_OMM12</t>
  </si>
  <si>
    <t>TV287_D20_Co_2479_OMM-KB1</t>
  </si>
  <si>
    <t>TV287_D20_Co_2481_OMM-KB1</t>
  </si>
  <si>
    <t>TV287_D20_Co_2482_OMM-KB1</t>
  </si>
  <si>
    <t>TV287_D20_Co_2484_OMM-I48</t>
  </si>
  <si>
    <t>TV287_D20_Co_2485_OMM-I48</t>
  </si>
  <si>
    <t>TV287_D20_Co_2486_OMM-I48</t>
  </si>
  <si>
    <t>TV287_D20_Co_2487_OMM-I48</t>
  </si>
  <si>
    <t>TV287_D20_F_2476_OMM12</t>
  </si>
  <si>
    <t>TV287_D20_F_2477_OMM12</t>
  </si>
  <si>
    <t>TV287_D20_F_2478_OMM12</t>
  </si>
  <si>
    <t>TV287_D20_F_2479_OMM-KB1</t>
  </si>
  <si>
    <t>TV287_D20_F_2480_OMM-KB1</t>
  </si>
  <si>
    <t>TV287_D20_F_2481_OMM-KB1</t>
  </si>
  <si>
    <t>TV287_D20_F_2482_OMM-KB1</t>
  </si>
  <si>
    <t>TV287_D20_F_2483_OMM-I48</t>
  </si>
  <si>
    <t>TV287_D20_F_2484_OMM-I48</t>
  </si>
  <si>
    <t>TV287_D20_F_2485_OMM-I48</t>
  </si>
  <si>
    <t>TV287_D20_F_2486_OMM-I48</t>
  </si>
  <si>
    <t>TV287_D20_F_2487_OMM-I48</t>
  </si>
  <si>
    <t>TV287_D20_Il_2476_OMM12</t>
  </si>
  <si>
    <t>TV287_D20_Il_2477_OMM12</t>
  </si>
  <si>
    <t>TV287_D20_Il_2478_OMM12</t>
  </si>
  <si>
    <t>TV287_D20_Il_2479_OMM-KB1</t>
  </si>
  <si>
    <t>TV287_D20_Il_2480_OMM-KB1</t>
  </si>
  <si>
    <t>TV287_D20_Il_2481_OMM-KB1</t>
  </si>
  <si>
    <t>TV287_D20_Il_2482_OMM-KB1</t>
  </si>
  <si>
    <t>TV287_D20_Il_2483_OMM-I48</t>
  </si>
  <si>
    <t>TV287_D20_Il_2484_OMM-I48</t>
  </si>
  <si>
    <t>TV287_D20_Il_2485_OMM-I48</t>
  </si>
  <si>
    <t>TV287_D20_Il_2486_OMM-I48</t>
  </si>
  <si>
    <t>TV287_D20_Il_2487_OMM-I48</t>
  </si>
  <si>
    <t>TV287_D20_Je_2476_OMM12</t>
  </si>
  <si>
    <t>TV287_D20_Je_2477_OMM12</t>
  </si>
  <si>
    <t>TV287_D20_Je_2478_OMM12</t>
  </si>
  <si>
    <t>TV287_D20_Je_2479_OMM-KB1</t>
  </si>
  <si>
    <t>TV287_D20_Je_2480_OMM-KB1</t>
  </si>
  <si>
    <t>TV287_D20_Je_2481_OMM-KB1</t>
  </si>
  <si>
    <t>TV287_D20_Je_2482_OMM-KB1</t>
  </si>
  <si>
    <t>TV287_D20_Je_2483_OMM-I48</t>
  </si>
  <si>
    <t>TV287_D20_Je_2484_OMM-I48</t>
  </si>
  <si>
    <t>TV287_D20_Je_2485_OMM-I48</t>
  </si>
  <si>
    <t>TV287_D20_Je_2486_OMM-I48</t>
  </si>
  <si>
    <t>TV287_D20_Je_2487_OMM-I48</t>
  </si>
  <si>
    <t>TV293_D20_Ce_2541_OMM12</t>
  </si>
  <si>
    <t>TV293_D20_Ce_2542_OMM12</t>
  </si>
  <si>
    <t>TV293_D20_Ce_2543_OMM12</t>
  </si>
  <si>
    <t>TV293_D20_Ce_2544_OMM12</t>
  </si>
  <si>
    <t>TV293_D20_Ce_2545_OMM12</t>
  </si>
  <si>
    <t>TV293_D20_Ce_2546_OMM12</t>
  </si>
  <si>
    <t>TV293_D20_Ce_2547_OMM-KB1</t>
  </si>
  <si>
    <t>TV293_D20_Ce_2548_OMM-KB1</t>
  </si>
  <si>
    <t>TV293_D20_Ce_2549_OMM-KB1</t>
  </si>
  <si>
    <t>TV293_D20_Ce_2550_OMM-KB1</t>
  </si>
  <si>
    <t>TV293_D20_Ce_2551_OMM-I48</t>
  </si>
  <si>
    <t>TV293_D20_Ce_2552_OMM-I48</t>
  </si>
  <si>
    <t>TV293_D20_Ce_2553_OMM-I48</t>
  </si>
  <si>
    <t>TV293_D20_Ce_2554_OMM-I48</t>
  </si>
  <si>
    <t>TV293_D20_Ce_2555_OMM-I48</t>
  </si>
  <si>
    <t>TV293_D20_Ce_2556_OMM-YL58</t>
  </si>
  <si>
    <t>TV293_D20_Ce_2557_OMM-YL58</t>
  </si>
  <si>
    <t>TV293_D20_Ce_2558_OMM-YL58</t>
  </si>
  <si>
    <t>TV293_D20_Ce_2559_OMM-YL58</t>
  </si>
  <si>
    <t>TV293_D20_Co_2541_OMM12</t>
  </si>
  <si>
    <t>TV293_D20_Co_2542_OMM12</t>
  </si>
  <si>
    <t>TV293_D20_Co_2543_OMM12</t>
  </si>
  <si>
    <t>TV293_D20_Co_2544_OMM12</t>
  </si>
  <si>
    <t>TV293_D20_Co_2545_OMM12</t>
  </si>
  <si>
    <t>TV293_D20_Co_2548_OMM-KB1</t>
  </si>
  <si>
    <t>TV293_D20_Co_2549_OMM-KB1</t>
  </si>
  <si>
    <t>TV293_D20_Co_2550_OMM-KB1</t>
  </si>
  <si>
    <t>TV293_D20_Co_2551_OMM-I48</t>
  </si>
  <si>
    <t>TV293_D20_Co_2552_OMM-I48</t>
  </si>
  <si>
    <t>TV293_D20_Co_2553_OMM-I48</t>
  </si>
  <si>
    <t>TV293_D20_Co_2554_OMM-I48</t>
  </si>
  <si>
    <t>TV293_D20_Co_2555_OMM-I48</t>
  </si>
  <si>
    <t>TV293_D20_Co_2556_OMM-YL58</t>
  </si>
  <si>
    <t>TV293_D20_Co_2557_OMM-YL58</t>
  </si>
  <si>
    <t>TV293_D20_Co_2558_OMM-YL58</t>
  </si>
  <si>
    <t>TV293_D20_Co_2559_OMM-YL58</t>
  </si>
  <si>
    <t>TV293_D20_F_2541_OMM12</t>
  </si>
  <si>
    <t>TV293_D20_F_2542_OMM12</t>
  </si>
  <si>
    <t>TV293_D20_F_2543_OMM12</t>
  </si>
  <si>
    <t>TV293_D20_F_2544_OMM12</t>
  </si>
  <si>
    <t>TV293_D20_F_2545_OMM12</t>
  </si>
  <si>
    <t>TV293_D20_F_2546_OMM-KB1</t>
  </si>
  <si>
    <t>TV293_D20_F_2547_OMM-KB1</t>
  </si>
  <si>
    <t>TV293_D20_F_2548_OMM-KB1</t>
  </si>
  <si>
    <t>TV293_D20_F_2549_OMM-KB1</t>
  </si>
  <si>
    <t>TV293_D20_F_2550_OMM-KB1</t>
  </si>
  <si>
    <t>TV293_D20_F_2551_OMM-I48</t>
  </si>
  <si>
    <t>TV293_D20_F_2552_OMM-I48</t>
  </si>
  <si>
    <t>TV293_D20_F_2553_OMM-I48</t>
  </si>
  <si>
    <t>TV293_D20_F_2554_OMM-I48</t>
  </si>
  <si>
    <t>TV293_D20_F_2555_OMM-I48</t>
  </si>
  <si>
    <t>TV293_D20_F_2556_OMM-YL58</t>
  </si>
  <si>
    <t>TV293_D20_F_2557_OMM-YL58</t>
  </si>
  <si>
    <t>TV293_D20_F_2558_OMM-YL58</t>
  </si>
  <si>
    <t>TV293_D20_F_2559_OMM-YL58</t>
  </si>
  <si>
    <t>TV293_D20_Il_2541_OMM12</t>
  </si>
  <si>
    <t>TV293_D20_Il_2542_OMM12</t>
  </si>
  <si>
    <t>TV293_D20_Il_2543_OMM12</t>
  </si>
  <si>
    <t>TV293_D20_Il_2544_OMM12</t>
  </si>
  <si>
    <t>TV293_D20_Il_2545_OMM12</t>
  </si>
  <si>
    <t>TV293_D20_Il_2546_OMM-KB1</t>
  </si>
  <si>
    <t>TV293_D20_Il_2547_OMM-KB1</t>
  </si>
  <si>
    <t>TV293_D20_Il_2548_OMM-KB1</t>
  </si>
  <si>
    <t>TV293_D20_Il_2549_OMM-KB1</t>
  </si>
  <si>
    <t>TV293_D20_Il_2550_OMM-KB1</t>
  </si>
  <si>
    <t>TV293_D20_Il_2551_OMM-I48</t>
  </si>
  <si>
    <t>TV293_D20_Il_2552_OMM-I48</t>
  </si>
  <si>
    <t>TV293_D20_Il_2553_OMM-I48</t>
  </si>
  <si>
    <t>TV293_D20_Il_2554_OMM-I48</t>
  </si>
  <si>
    <t>TV293_D20_Il_2555_OMM-I48</t>
  </si>
  <si>
    <t>TV293_D20_Il_2556_OMM-YL58</t>
  </si>
  <si>
    <t>TV293_D20_Il_2557_OMM-YL58</t>
  </si>
  <si>
    <t>TV293_D20_Il_2558_OMM-YL58</t>
  </si>
  <si>
    <t>TV293_D20_Il_2559_OMM-YL58</t>
  </si>
  <si>
    <t>TV293_D20_Je_2541_OMM12</t>
  </si>
  <si>
    <t>TV293_D20_Je_2542_OMM12</t>
  </si>
  <si>
    <t>TV293_D20_Je_2543_OMM12</t>
  </si>
  <si>
    <t>TV293_D20_Je_2544_OMM12</t>
  </si>
  <si>
    <t>TV293_D20_Je_2545_OMM12</t>
  </si>
  <si>
    <t>TV293_D20_Je_2546_OMM-KB1</t>
  </si>
  <si>
    <t>TV293_D20_Je_2547_OMM-KB1</t>
  </si>
  <si>
    <t>TV293_D20_Je_2548_OMM-KB1</t>
  </si>
  <si>
    <t>TV293_D20_Je_2549_OMM-KB1</t>
  </si>
  <si>
    <t>TV293_D20_Je_2550_OMM-KB1</t>
  </si>
  <si>
    <t>TV293_D20_Je_2551_OMM-I48</t>
  </si>
  <si>
    <t>TV293_D20_Je_2552_OMM-I48</t>
  </si>
  <si>
    <t>TV293_D20_Je_2553_OMM-I48</t>
  </si>
  <si>
    <t>TV293_D20_Je_2554_OMM-I48</t>
  </si>
  <si>
    <t>TV293_D20_Je_2555_OMM-I48</t>
  </si>
  <si>
    <t>TV293_D20_Je_2556_OMM-YL58</t>
  </si>
  <si>
    <t>TV293_D20_Je_2557_OMM-YL58</t>
  </si>
  <si>
    <t>TV293_D20_Je_2558_OMM-YL58</t>
  </si>
  <si>
    <t>TV293_D20_Je_2559_OMM-YL58</t>
  </si>
  <si>
    <t>TV295_D20_Ce_2573_OMM-YL58</t>
  </si>
  <si>
    <t>TV295_D20_Ce_2574_OMM-YL58</t>
  </si>
  <si>
    <t>TV295_D20_Ce_2575_OMM-YL58</t>
  </si>
  <si>
    <t>TV295_D20_Ce_2576_OMM-YL58</t>
  </si>
  <si>
    <t>TV295_D20_Ce_2577_OMM-YL58</t>
  </si>
  <si>
    <t>TV295_D20_Ce_2578_OMM-YL58</t>
  </si>
  <si>
    <t>TV295_D20_Co_2573_OMM-YL58</t>
  </si>
  <si>
    <t>TV295_D20_Co_2574_OMM-YL58</t>
  </si>
  <si>
    <t>TV295_D20_Co_2575_OMM-YL58</t>
  </si>
  <si>
    <t>TV295_D20_Co_2576_OMM-YL58</t>
  </si>
  <si>
    <t>TV295_D20_Co_2577_OMM-YL58</t>
  </si>
  <si>
    <t>TV295_D20_Co_2578_OMM-YL58</t>
  </si>
  <si>
    <t>TV295_D20_F_2573_OMM-YL58</t>
  </si>
  <si>
    <t>TV295_D20_F_2574_OMM-YL58</t>
  </si>
  <si>
    <t>TV295_D20_F_2575_OMM-YL58</t>
  </si>
  <si>
    <t>TV295_D20_F_2576_OMM-YL58</t>
  </si>
  <si>
    <t>TV295_D20_F_2577_OMM-YL58</t>
  </si>
  <si>
    <t>TV295_D20_Il_2573_OMM-YL58</t>
  </si>
  <si>
    <t>TV295_D20_Il_2574_OMM-YL58</t>
  </si>
  <si>
    <t>TV295_D20_Il_2575_OMM-YL58</t>
  </si>
  <si>
    <t>TV295_D20_Il_2576_OMM-YL58</t>
  </si>
  <si>
    <t>TV295_D20_Il_2577_OMM-YL58</t>
  </si>
  <si>
    <t>TV295_D20_Il_2578_OMM-YL58</t>
  </si>
  <si>
    <t>TV295_D20_Je_2573_OMM-YL58</t>
  </si>
  <si>
    <t>TV295_D20_Je_2574_OMM-YL58</t>
  </si>
  <si>
    <t>TV295_D20_Je_2575_OMM-YL58</t>
  </si>
  <si>
    <t>TV295_D20_Je_2576_OMM-YL58</t>
  </si>
  <si>
    <t>TV295_D20_Je_2577_OMM-YL58</t>
  </si>
  <si>
    <t>TV295_D20_Je_2578_OMM-YL58</t>
  </si>
  <si>
    <t>relab_16Scorr</t>
  </si>
  <si>
    <t>w</t>
  </si>
  <si>
    <t>m</t>
  </si>
  <si>
    <t>OMM-KB1</t>
  </si>
  <si>
    <t>OMM-I48</t>
  </si>
  <si>
    <t>OMM-YL58</t>
  </si>
  <si>
    <t>f</t>
  </si>
  <si>
    <t>mousenumber</t>
  </si>
  <si>
    <t>sex</t>
  </si>
  <si>
    <t>mouse weight [g]</t>
  </si>
  <si>
    <t>cecum weight [g]</t>
  </si>
  <si>
    <t>ratio in %</t>
  </si>
  <si>
    <t>medium</t>
  </si>
  <si>
    <t>probe</t>
  </si>
  <si>
    <t>AF</t>
  </si>
  <si>
    <t>APF</t>
  </si>
  <si>
    <t>GAM</t>
  </si>
  <si>
    <t>TYG</t>
  </si>
  <si>
    <t>YCFA</t>
  </si>
  <si>
    <t>region</t>
  </si>
  <si>
    <t>Ce</t>
  </si>
  <si>
    <t>Co</t>
  </si>
  <si>
    <t>F</t>
  </si>
  <si>
    <t>Il</t>
  </si>
  <si>
    <t>Je</t>
  </si>
  <si>
    <t>Tab1</t>
  </si>
  <si>
    <t>Tab2</t>
  </si>
  <si>
    <t>Tab3</t>
  </si>
  <si>
    <t>Tab4</t>
  </si>
  <si>
    <t>Tab5</t>
  </si>
  <si>
    <t>Tab6</t>
  </si>
  <si>
    <t>Tab7</t>
  </si>
  <si>
    <t>Tab8</t>
  </si>
  <si>
    <t>Tab10</t>
  </si>
  <si>
    <t>Tab11</t>
  </si>
  <si>
    <t>Tab13</t>
  </si>
  <si>
    <t>Tab14</t>
  </si>
  <si>
    <t>data type</t>
  </si>
  <si>
    <t>corresponding figure</t>
  </si>
  <si>
    <t>table</t>
  </si>
  <si>
    <t>absolute abundance, all communities in AF and APF medium</t>
  </si>
  <si>
    <t>absolute abundance, selected communities in APFmod medium</t>
  </si>
  <si>
    <t>absolute abundance, selected communities in additional media</t>
  </si>
  <si>
    <t>abundance ratio (rabs) in vitro</t>
  </si>
  <si>
    <t>pH modification, communities in AF and APF medium</t>
  </si>
  <si>
    <t>pH modification, selected communities in APFmod medium</t>
  </si>
  <si>
    <t>pH modification, selected communities in additional media</t>
  </si>
  <si>
    <t>SCFA levels in vitro</t>
  </si>
  <si>
    <t>SCFA levels in vivo</t>
  </si>
  <si>
    <t>absolute abundances, in vivo, different gut regions</t>
  </si>
  <si>
    <t>relative abundances, in vivo, different gut regions</t>
  </si>
  <si>
    <t>abundance ratio (rabs) in vivo</t>
  </si>
  <si>
    <t>cecal and mouse weights</t>
  </si>
  <si>
    <r>
      <t>absolute abundance, communities including</t>
    </r>
    <r>
      <rPr>
        <i/>
        <sz val="11"/>
        <color theme="1"/>
        <rFont val="Calibri"/>
        <family val="2"/>
        <scheme val="minor"/>
      </rPr>
      <t xml:space="preserve"> E. faecalis</t>
    </r>
    <r>
      <rPr>
        <sz val="11"/>
        <color theme="1"/>
        <rFont val="Calibri"/>
        <family val="2"/>
        <scheme val="minor"/>
      </rPr>
      <t xml:space="preserve"> KB1 enterocin muntant</t>
    </r>
  </si>
  <si>
    <t>Mouse Number</t>
  </si>
  <si>
    <t>Sex</t>
  </si>
  <si>
    <t xml:space="preserve"> Colonization</t>
  </si>
  <si>
    <t>7-Ketolithocholic acid</t>
  </si>
  <si>
    <t>a-Muricholic acid</t>
  </si>
  <si>
    <t xml:space="preserve">b-Muricholic acid </t>
  </si>
  <si>
    <t>Chenodeoxycholic acid</t>
  </si>
  <si>
    <t>Cholenic acid-3,12-dio</t>
  </si>
  <si>
    <t>Cholic acid</t>
  </si>
  <si>
    <t>Deoxycholic acid</t>
  </si>
  <si>
    <t xml:space="preserve">Glycochenodeoxycholic acid </t>
  </si>
  <si>
    <t>Hyodeoxycholic acid</t>
  </si>
  <si>
    <t>Lithocholic acid</t>
  </si>
  <si>
    <t>Tauro-a-Muricholic acid</t>
  </si>
  <si>
    <t>Taurochenodeoxycholic acid</t>
  </si>
  <si>
    <t>Tauroursodeoxycholic acid</t>
  </si>
  <si>
    <t xml:space="preserve">Ursodeoxycholic acid </t>
  </si>
  <si>
    <t>3-Dehydrocholic acid</t>
  </si>
  <si>
    <t xml:space="preserve">6-Ketolithocholic acid </t>
  </si>
  <si>
    <t>7-Dehydrocholic acid</t>
  </si>
  <si>
    <t>7-Sulfocholic acid</t>
  </si>
  <si>
    <t>Cholic acid-7ol-3one</t>
  </si>
  <si>
    <t>Isolithocholic acid</t>
  </si>
  <si>
    <t xml:space="preserve">Taurocholic acid </t>
  </si>
  <si>
    <t>Taurohyodeoxycholic acid</t>
  </si>
  <si>
    <t xml:space="preserve">Allocholic acid </t>
  </si>
  <si>
    <t xml:space="preserve">Ursocholic acid </t>
  </si>
  <si>
    <t>Dehydrolithocholic aci</t>
  </si>
  <si>
    <t xml:space="preserve">Glycohyocholic acid </t>
  </si>
  <si>
    <t>food</t>
  </si>
  <si>
    <t>Tab15</t>
  </si>
  <si>
    <t>bile acid concentrations cecum</t>
  </si>
  <si>
    <t>OMM12_S1new_APF_W1</t>
  </si>
  <si>
    <t>OMM12_S1new_APF_W2</t>
  </si>
  <si>
    <t>OMM12_S1new_APF_W3</t>
  </si>
  <si>
    <t>OMM11-I48_S1new_APF_W1</t>
  </si>
  <si>
    <t>OMM11-I48_S1new_APF_W2</t>
  </si>
  <si>
    <t>OMM11-I48_S1new_APF_W3</t>
  </si>
  <si>
    <t>OMM12_APF-Inulin_S1_W1</t>
  </si>
  <si>
    <t>OMM12_APF-Inulin_S1_W2</t>
  </si>
  <si>
    <t>OMM12_APF-Inulin_S1_W3</t>
  </si>
  <si>
    <t>OMM12_APF-Inulin_S2_W1</t>
  </si>
  <si>
    <t>OMM12_APF-Inulin_S2_W2</t>
  </si>
  <si>
    <t>OMM12_APF-Inulin_S2_W3</t>
  </si>
  <si>
    <t>OMM12_APF-Inulin_S3_W2</t>
  </si>
  <si>
    <t>OMM-I48_APF-Inulin_S1_W1</t>
  </si>
  <si>
    <t>OMM-I48_APF-Inulin_S1_W2</t>
  </si>
  <si>
    <t>OMM-I48_APF-Inulin_S1_W3</t>
  </si>
  <si>
    <t>OMM-I48_APF-Inulin_S2_W1</t>
  </si>
  <si>
    <t>OMM-I48_APF-Inulin_S2_W2</t>
  </si>
  <si>
    <t>OMM-I48_APF-Inulin_S2_W3</t>
  </si>
  <si>
    <t>OMM-I48_APF-Inulin_S3_W1</t>
  </si>
  <si>
    <t>OMM-I48_APF-Inulin_S3_W2</t>
  </si>
  <si>
    <t>OMM-I48_APF-Inulin_S3_W3</t>
  </si>
  <si>
    <t>OMM12_APF-Xylan_S1_W1</t>
  </si>
  <si>
    <t>OMM12_APF-Xylan_S1_W2</t>
  </si>
  <si>
    <t>OMM12_APF-Xylan_S1_W3</t>
  </si>
  <si>
    <t>OMM12_APF-Xylan_S2_W1</t>
  </si>
  <si>
    <t>OMM12_APF-Xylan_S2_W2</t>
  </si>
  <si>
    <t>OMM12_APF-Xylan_S2_W3</t>
  </si>
  <si>
    <t>OMM12_APF-Xylan_S3_W1</t>
  </si>
  <si>
    <t>OMM12_APF-Xylan_S3_W2</t>
  </si>
  <si>
    <t>OMM12_APF-Xylan_S3_W3</t>
  </si>
  <si>
    <t>OMM-I48_APF-Xylan_S1_W1</t>
  </si>
  <si>
    <t>OMM-I48_APF-Xylan_S1_W2</t>
  </si>
  <si>
    <t>OMM-I48_APF-Xylan_S1_W3</t>
  </si>
  <si>
    <t>OMM-I48_APF-Xylan_S2_W1</t>
  </si>
  <si>
    <t>OMM-I48_APF-Xylan_S2_W2</t>
  </si>
  <si>
    <t>OMM-I48_APF-Xylan_S2_W3</t>
  </si>
  <si>
    <t>OMM-I48_APF-Xylan_S3_W1</t>
  </si>
  <si>
    <t>OMM-I48_APF-Xylan_S3_W2</t>
  </si>
  <si>
    <t>OMM-I48_APF-Xylan_S3_W3</t>
  </si>
  <si>
    <t>OMM12_APFNaOH_S1_w1</t>
  </si>
  <si>
    <t>OMM12_APFNaOH_S1_w2</t>
  </si>
  <si>
    <t>OMM12_APFNaOH_S2_w1</t>
  </si>
  <si>
    <t>OMM12_APFNaOH_S2_w2</t>
  </si>
  <si>
    <t>OMM-I48_APFHCl_S1_w1</t>
  </si>
  <si>
    <t>OMM-I48_APFHCl_S1_w2</t>
  </si>
  <si>
    <t>OMM-I48_APFHCl_S1_w3</t>
  </si>
  <si>
    <t>OMM-I48_APFHCl_S2_w1</t>
  </si>
  <si>
    <t>OMM-I48_APFHCl_S2_w2</t>
  </si>
  <si>
    <t>OMM-I48_APFHCl_S2_w3</t>
  </si>
  <si>
    <t>Succinic acid</t>
  </si>
  <si>
    <t>Fig. 5c</t>
  </si>
  <si>
    <t>Fig. 6a</t>
  </si>
  <si>
    <t>LCN2 levels cecum</t>
  </si>
  <si>
    <t>Tab 16</t>
  </si>
  <si>
    <t>Fig. 6c</t>
  </si>
  <si>
    <t>histopathological score</t>
  </si>
  <si>
    <t>Tab 17</t>
  </si>
  <si>
    <t>Edema</t>
  </si>
  <si>
    <r>
      <t xml:space="preserve">PMNs </t>
    </r>
    <r>
      <rPr>
        <b/>
        <sz val="11"/>
        <color theme="1"/>
        <rFont val="Arial"/>
        <family val="2"/>
      </rPr>
      <t>ø</t>
    </r>
  </si>
  <si>
    <t>Goblet cells</t>
  </si>
  <si>
    <t>Epithelium/ Regeneration</t>
  </si>
  <si>
    <t>Liver</t>
  </si>
  <si>
    <t>Sum Score</t>
  </si>
  <si>
    <t>/</t>
  </si>
  <si>
    <t>Parameter</t>
  </si>
  <si>
    <t>submucosal edema</t>
  </si>
  <si>
    <t>no changes</t>
  </si>
  <si>
    <r>
      <t xml:space="preserve">detectable edema       </t>
    </r>
    <r>
      <rPr>
        <sz val="8"/>
        <color theme="1"/>
        <rFont val="Calibri"/>
        <family val="2"/>
        <scheme val="minor"/>
      </rPr>
      <t>(&lt;10%)</t>
    </r>
  </si>
  <si>
    <r>
      <t xml:space="preserve">moderate edema      </t>
    </r>
    <r>
      <rPr>
        <sz val="8"/>
        <color theme="1"/>
        <rFont val="Calibri"/>
        <family val="2"/>
        <scheme val="minor"/>
      </rPr>
      <t>(10-40%)</t>
    </r>
  </si>
  <si>
    <r>
      <t xml:space="preserve">profund edema </t>
    </r>
    <r>
      <rPr>
        <sz val="8"/>
        <color theme="1"/>
        <rFont val="Calibri"/>
        <family val="2"/>
        <scheme val="minor"/>
      </rPr>
      <t>(&gt;40%)</t>
    </r>
  </si>
  <si>
    <r>
      <t xml:space="preserve">PMN infiltration </t>
    </r>
    <r>
      <rPr>
        <sz val="8"/>
        <color theme="1"/>
        <rFont val="Calibri"/>
        <family val="2"/>
        <scheme val="minor"/>
      </rPr>
      <t>(per 400x high power field)</t>
    </r>
  </si>
  <si>
    <t>0-5</t>
  </si>
  <si>
    <t>6-20</t>
  </si>
  <si>
    <t>21-60</t>
  </si>
  <si>
    <t>61-100</t>
  </si>
  <si>
    <t>&gt;100</t>
  </si>
  <si>
    <r>
      <t xml:space="preserve">loss of goblet cells </t>
    </r>
    <r>
      <rPr>
        <sz val="8"/>
        <color theme="1"/>
        <rFont val="Calibri"/>
        <family val="2"/>
        <scheme val="minor"/>
      </rPr>
      <t>(per 400x high power field)</t>
    </r>
  </si>
  <si>
    <t>&gt;28</t>
  </si>
  <si>
    <t>11-28</t>
  </si>
  <si>
    <t>1-10</t>
  </si>
  <si>
    <t>&lt;1</t>
  </si>
  <si>
    <t>epthelium</t>
  </si>
  <si>
    <t>desquamation</t>
  </si>
  <si>
    <r>
      <t xml:space="preserve">erosion  </t>
    </r>
    <r>
      <rPr>
        <sz val="8"/>
        <color theme="1"/>
        <rFont val="Calibri"/>
        <family val="2"/>
        <scheme val="minor"/>
      </rPr>
      <t>(gaps of 1-10 cells)</t>
    </r>
  </si>
  <si>
    <r>
      <t xml:space="preserve">ulceration </t>
    </r>
    <r>
      <rPr>
        <sz val="8"/>
        <color theme="1"/>
        <rFont val="Calibri"/>
        <family val="2"/>
        <scheme val="minor"/>
      </rPr>
      <t>(gaps of &gt;10 cells)</t>
    </r>
  </si>
  <si>
    <t>IF</t>
  </si>
  <si>
    <t>Infection Faktor</t>
  </si>
  <si>
    <t>(IF)</t>
  </si>
  <si>
    <t>little islands</t>
  </si>
  <si>
    <t>no IF</t>
  </si>
  <si>
    <t>Mouse number</t>
  </si>
  <si>
    <t>Colonization</t>
  </si>
  <si>
    <t>Feces D0</t>
  </si>
  <si>
    <t>Feces D7</t>
  </si>
  <si>
    <t>Feces D14</t>
  </si>
  <si>
    <t>Feces D20</t>
  </si>
  <si>
    <t>Jejunum</t>
  </si>
  <si>
    <t>Ileum</t>
  </si>
  <si>
    <t>Cecum</t>
  </si>
  <si>
    <t>Colon</t>
  </si>
  <si>
    <t>mouse number</t>
  </si>
  <si>
    <t>na</t>
  </si>
  <si>
    <t xml:space="preserve">Fig. 6b </t>
  </si>
  <si>
    <t>Fig. 2a</t>
  </si>
  <si>
    <t>Fig. 4e</t>
  </si>
  <si>
    <t>Fig. S1B, Fig. S6</t>
  </si>
  <si>
    <t>Fig. 3a, Fig. S8</t>
  </si>
  <si>
    <t>Fig. S3, Fig. S10</t>
  </si>
  <si>
    <t>Fig. 4b, Fig. S2, Fig. S9, Fig. S11</t>
  </si>
  <si>
    <t>Fig. S12</t>
  </si>
  <si>
    <t>Fig. 5ab, Fig. S13</t>
  </si>
  <si>
    <t>Fig. S15</t>
  </si>
  <si>
    <t>Fig. S16</t>
  </si>
  <si>
    <t>Fig. 2e</t>
  </si>
  <si>
    <t>Fig. 1bcde,  Fig. S1A</t>
  </si>
  <si>
    <t>Fig. 1b, Fig. S1A, Fig. S5</t>
  </si>
  <si>
    <t>Tab 9</t>
  </si>
  <si>
    <t>AA levels in vitro</t>
  </si>
  <si>
    <t>Tab 18</t>
  </si>
  <si>
    <t>Serine</t>
  </si>
  <si>
    <t>Arginine</t>
  </si>
  <si>
    <t>Glutamine</t>
  </si>
  <si>
    <t>Glutamic acid</t>
  </si>
  <si>
    <t>Histidine</t>
  </si>
  <si>
    <t>Isoleucine/Leucine</t>
  </si>
  <si>
    <t>Lysine</t>
  </si>
  <si>
    <t>Methionine</t>
  </si>
  <si>
    <t>Phenylalanine</t>
  </si>
  <si>
    <t>Proline</t>
  </si>
  <si>
    <t>Threonine</t>
  </si>
  <si>
    <t>Tryptophane</t>
  </si>
  <si>
    <t>Valine</t>
  </si>
  <si>
    <t>Alanine</t>
  </si>
  <si>
    <t>Tyrosine</t>
  </si>
  <si>
    <t>Aspartic acid</t>
  </si>
  <si>
    <t>Asparagine</t>
  </si>
  <si>
    <t>N/A</t>
  </si>
  <si>
    <t>AF_Blank_1</t>
  </si>
  <si>
    <t>AF_Blank_2</t>
  </si>
  <si>
    <t>AF_Blank_3</t>
  </si>
  <si>
    <t>APF_Blank_1</t>
  </si>
  <si>
    <t>APF_Blank_2</t>
  </si>
  <si>
    <t>APF_Blank_3</t>
  </si>
  <si>
    <t>APFmod_Blank_1</t>
  </si>
  <si>
    <t>APFmod_Blank_2</t>
  </si>
  <si>
    <t>APFmod_Blank_3</t>
  </si>
  <si>
    <t>OMM11-I48_APFmod_E1</t>
  </si>
  <si>
    <t>OMM12_APFmod_E1</t>
  </si>
  <si>
    <t>OMM12_APFmod_E2</t>
  </si>
  <si>
    <t>OMM11-I48_APFmod_E3</t>
  </si>
  <si>
    <t>OMM12_APFmod_E3</t>
  </si>
  <si>
    <t>OMM11-I46_AF_E1</t>
  </si>
  <si>
    <t>OMM11-I46_AF_E2</t>
  </si>
  <si>
    <t>OMM11-I46_AF_E3</t>
  </si>
  <si>
    <t>OMM11-I46_APF_E1</t>
  </si>
  <si>
    <t>OMM11-I46_APF_E2</t>
  </si>
  <si>
    <t>OMM11-I46_APF_E3</t>
  </si>
  <si>
    <t>OMM11-I48_AF_E1</t>
  </si>
  <si>
    <t>OMM11-I48_AF_E2</t>
  </si>
  <si>
    <t>OMM11-I48_AF_E3</t>
  </si>
  <si>
    <t>OMM11-I48_APF_E1</t>
  </si>
  <si>
    <t>OMM11-I48_APF_E2</t>
  </si>
  <si>
    <t>OMM11-I49_AF_E1</t>
  </si>
  <si>
    <t>OMM11-I49_AF_E2</t>
  </si>
  <si>
    <t>OMM11-I49_AF_E3</t>
  </si>
  <si>
    <t>OMM11-I49_APF_E1</t>
  </si>
  <si>
    <t>OMM11-I49_APF_E2</t>
  </si>
  <si>
    <t>OMM11-I49_APF_E3</t>
  </si>
  <si>
    <t>OMM11-KB1_AF_E1</t>
  </si>
  <si>
    <t>OMM11-KB1_AF_E2</t>
  </si>
  <si>
    <t>OMM11-KB1_AF_E3</t>
  </si>
  <si>
    <t>OMM11-KB1_APF_E1</t>
  </si>
  <si>
    <t>OMM11-KB1_APF_E2</t>
  </si>
  <si>
    <t>OMM11-KB1_APF_E3</t>
  </si>
  <si>
    <t>OMM11-KB18_AF_E1</t>
  </si>
  <si>
    <t>OMM11-KB18_AF_E2</t>
  </si>
  <si>
    <t>OMM11-KB18_AF_E3</t>
  </si>
  <si>
    <t>OMM11-KB18_APF_E1</t>
  </si>
  <si>
    <t>OMM11-KB18_APF_E2</t>
  </si>
  <si>
    <t>OMM11-KB18_APF_E3</t>
  </si>
  <si>
    <t>OMM11-YL2_AF_E1</t>
  </si>
  <si>
    <t>OMM11-YL2_AF_E2</t>
  </si>
  <si>
    <t>OMM11-YL2_AF_E3</t>
  </si>
  <si>
    <t>OMM11-YL2_APF_E1</t>
  </si>
  <si>
    <t>OMM11-YL2_APF_E2</t>
  </si>
  <si>
    <t>OMM11-YL2_APF_E3</t>
  </si>
  <si>
    <t>OMM11-YL27_AF_E1</t>
  </si>
  <si>
    <t>OMM11-YL27_AF_E2</t>
  </si>
  <si>
    <t>OMM11-YL27_AF_E3</t>
  </si>
  <si>
    <t>OMM11-YL27_APF_E1</t>
  </si>
  <si>
    <t>OMM11-YL27_APF_E2</t>
  </si>
  <si>
    <t>OMM11-YL27_APF_E3</t>
  </si>
  <si>
    <t>OMM11-YL31_AF_E1</t>
  </si>
  <si>
    <t>OMM11-YL31_AF_E2</t>
  </si>
  <si>
    <t>OMM11-YL31_AF_E3</t>
  </si>
  <si>
    <t>OMM11-YL31_APF_E1</t>
  </si>
  <si>
    <t>OMM11-YL31_APF_E2</t>
  </si>
  <si>
    <t>OMM11-YL31_APF_E3</t>
  </si>
  <si>
    <t>OMM11-YL32_AF_E1</t>
  </si>
  <si>
    <t>OMM11-YL32_AF_E2</t>
  </si>
  <si>
    <t>OMM11-YL32_AF_E3</t>
  </si>
  <si>
    <t>OMM11-YL32_APF_E1</t>
  </si>
  <si>
    <t>OMM11-YL32_APF_E2</t>
  </si>
  <si>
    <t>OMM11-YL32_APF_E3</t>
  </si>
  <si>
    <t>OMM11-YL44_AF_E1</t>
  </si>
  <si>
    <t>OMM11-YL44_AF_E2</t>
  </si>
  <si>
    <t>OMM11-YL44_AF_E3</t>
  </si>
  <si>
    <t>OMM11-YL44_APF_E1</t>
  </si>
  <si>
    <t>OMM11-YL44_APF_E2</t>
  </si>
  <si>
    <t>OMM11-YL44_APF_E3</t>
  </si>
  <si>
    <t>OMM11-YL45_AF_E1</t>
  </si>
  <si>
    <t>OMM11-YL45_AF_E2</t>
  </si>
  <si>
    <t>OMM11-YL45_AF_E3</t>
  </si>
  <si>
    <t>OMM11-YL45_APF_E1</t>
  </si>
  <si>
    <t>OMM11-YL45_APF_E2</t>
  </si>
  <si>
    <t>OMM11-YL45_APF_E3</t>
  </si>
  <si>
    <t>OMM11-YL58_AF_E1</t>
  </si>
  <si>
    <t>OMM11-YL58_AF_E2</t>
  </si>
  <si>
    <t>OMM11-YL58_AF_E3</t>
  </si>
  <si>
    <t>OMM11-YL58_APF_E1</t>
  </si>
  <si>
    <t>OMM11-YL58_APF_E2</t>
  </si>
  <si>
    <t>OMM11-YL58_APF_E3</t>
  </si>
  <si>
    <t>OMM12_AF_E1</t>
  </si>
  <si>
    <t>OMM12_AF_E2</t>
  </si>
  <si>
    <t>OMM12_AF_E3</t>
  </si>
  <si>
    <t>OMM12_APF_E1</t>
  </si>
  <si>
    <t>OMM12_APF_E2</t>
  </si>
  <si>
    <t>OMM12_APF_E3</t>
  </si>
  <si>
    <t>Fig. 2cd</t>
  </si>
  <si>
    <t>Tab 12</t>
  </si>
  <si>
    <t>Inulin and Xylan concentrations</t>
  </si>
  <si>
    <t>Tab 19</t>
  </si>
  <si>
    <t>Samples</t>
  </si>
  <si>
    <t>Xylan g/l</t>
  </si>
  <si>
    <t>Inulin g/L</t>
  </si>
  <si>
    <t>I48_E1_APF_W1</t>
  </si>
  <si>
    <t>I48_E1_APFI_W1</t>
  </si>
  <si>
    <t>OMM12_E1_APFI_W1</t>
  </si>
  <si>
    <t>OMM11-I48_E1_APF_W1</t>
  </si>
  <si>
    <t>OMM11-I48_E1_APFI_W1</t>
  </si>
  <si>
    <t>Blank_E1_APF_W1</t>
  </si>
  <si>
    <t>Blank_E1_APFI_W1</t>
  </si>
  <si>
    <t>I48_E2_APF_W1</t>
  </si>
  <si>
    <t>I48_E2_APFI_W1</t>
  </si>
  <si>
    <t>OMM12_E2_APFI_W1</t>
  </si>
  <si>
    <t>OMM11-I48_E2_APFI_W1</t>
  </si>
  <si>
    <t>Blank_E2_APF_W1</t>
  </si>
  <si>
    <t>Blank_E2_APFI_W1</t>
  </si>
  <si>
    <t>I48_E3_APF_W1</t>
  </si>
  <si>
    <t>I48_E3_APFI_W1</t>
  </si>
  <si>
    <t>OMM12_E3_APFI_W1</t>
  </si>
  <si>
    <t>OMM11-I48_E3_APFI_W1</t>
  </si>
  <si>
    <t>Blank_E3_APF_W1</t>
  </si>
  <si>
    <t>Blank_E3_APFI_W1</t>
  </si>
  <si>
    <t>Fig. 4cd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</si>
</sst>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49998474074526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11" fontId="0" fillId="0" borderId="0" xfId="0" applyNumberFormat="1"/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10" xfId="0" applyBorder="1" applyAlignment="1">
      <alignment wrapText="1"/>
    </xf>
    <xf numFmtId="2" fontId="0" fillId="0" borderId="11" xfId="0" applyNumberFormat="1" applyBorder="1" applyAlignment="1">
      <alignment wrapText="1"/>
    </xf>
    <xf numFmtId="2" fontId="0" fillId="0" borderId="1" xfId="0" applyNumberFormat="1" applyBorder="1" applyAlignment="1">
      <alignment wrapText="1"/>
    </xf>
    <xf numFmtId="0" fontId="0" fillId="0" borderId="12" xfId="0" applyBorder="1" applyAlignment="1">
      <alignment wrapText="1"/>
    </xf>
    <xf numFmtId="49" fontId="0" fillId="0" borderId="13" xfId="0" applyNumberFormat="1" applyBorder="1" applyAlignment="1">
      <alignment vertical="top" wrapText="1"/>
    </xf>
    <xf numFmtId="49" fontId="0" fillId="0" borderId="14" xfId="0" applyNumberFormat="1" applyBorder="1" applyAlignment="1">
      <alignment vertical="top" wrapText="1"/>
    </xf>
    <xf numFmtId="49" fontId="0" fillId="0" borderId="14" xfId="0" applyNumberFormat="1" applyBorder="1" applyAlignment="1">
      <alignment wrapText="1"/>
    </xf>
    <xf numFmtId="0" fontId="0" fillId="0" borderId="15" xfId="0" applyBorder="1"/>
    <xf numFmtId="49" fontId="0" fillId="0" borderId="15" xfId="0" applyNumberFormat="1" applyBorder="1"/>
    <xf numFmtId="0" fontId="0" fillId="0" borderId="0" xfId="0" applyAlignment="1">
      <alignment wrapText="1"/>
    </xf>
    <xf numFmtId="49" fontId="0" fillId="0" borderId="0" xfId="0" applyNumberFormat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165" fontId="8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1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5" workbookViewId="0">
      <selection activeCell="D12" sqref="D12"/>
    </sheetView>
  </sheetViews>
  <sheetFormatPr baseColWidth="10" defaultRowHeight="15" x14ac:dyDescent="0.2"/>
  <cols>
    <col min="2" max="2" width="26" style="13" customWidth="1"/>
    <col min="3" max="3" width="24.1640625" customWidth="1"/>
  </cols>
  <sheetData>
    <row r="1" spans="1:3" ht="16" x14ac:dyDescent="0.2">
      <c r="A1" s="8" t="s">
        <v>843</v>
      </c>
      <c r="B1" s="11" t="s">
        <v>841</v>
      </c>
      <c r="C1" s="8" t="s">
        <v>842</v>
      </c>
    </row>
    <row r="2" spans="1:3" ht="48" x14ac:dyDescent="0.2">
      <c r="A2" s="9" t="s">
        <v>829</v>
      </c>
      <c r="B2" s="12" t="s">
        <v>844</v>
      </c>
      <c r="C2" s="10" t="s">
        <v>1005</v>
      </c>
    </row>
    <row r="3" spans="1:3" ht="48" x14ac:dyDescent="0.2">
      <c r="A3" s="9" t="s">
        <v>830</v>
      </c>
      <c r="B3" s="12" t="s">
        <v>845</v>
      </c>
      <c r="C3" s="10" t="s">
        <v>999</v>
      </c>
    </row>
    <row r="4" spans="1:3" ht="48" x14ac:dyDescent="0.2">
      <c r="A4" s="9" t="s">
        <v>831</v>
      </c>
      <c r="B4" s="12" t="s">
        <v>857</v>
      </c>
      <c r="C4" s="10" t="s">
        <v>997</v>
      </c>
    </row>
    <row r="5" spans="1:3" ht="48" x14ac:dyDescent="0.2">
      <c r="A5" s="9" t="s">
        <v>832</v>
      </c>
      <c r="B5" s="12" t="s">
        <v>846</v>
      </c>
      <c r="C5" s="10" t="s">
        <v>1006</v>
      </c>
    </row>
    <row r="6" spans="1:3" ht="16" x14ac:dyDescent="0.2">
      <c r="A6" s="9" t="s">
        <v>833</v>
      </c>
      <c r="B6" s="12" t="s">
        <v>847</v>
      </c>
      <c r="C6" s="10" t="s">
        <v>1004</v>
      </c>
    </row>
    <row r="7" spans="1:3" ht="32" x14ac:dyDescent="0.2">
      <c r="A7" s="9" t="s">
        <v>834</v>
      </c>
      <c r="B7" s="12" t="s">
        <v>848</v>
      </c>
      <c r="C7" s="10" t="s">
        <v>994</v>
      </c>
    </row>
    <row r="8" spans="1:3" ht="48" x14ac:dyDescent="0.2">
      <c r="A8" s="9" t="s">
        <v>835</v>
      </c>
      <c r="B8" s="12" t="s">
        <v>849</v>
      </c>
      <c r="C8" s="10" t="s">
        <v>995</v>
      </c>
    </row>
    <row r="9" spans="1:3" ht="48" x14ac:dyDescent="0.2">
      <c r="A9" s="9" t="s">
        <v>836</v>
      </c>
      <c r="B9" s="12" t="s">
        <v>850</v>
      </c>
      <c r="C9" s="10" t="s">
        <v>996</v>
      </c>
    </row>
    <row r="10" spans="1:3" ht="16" x14ac:dyDescent="0.2">
      <c r="A10" s="9" t="s">
        <v>1007</v>
      </c>
      <c r="B10" s="13" t="s">
        <v>1008</v>
      </c>
      <c r="C10" s="10" t="s">
        <v>1119</v>
      </c>
    </row>
    <row r="11" spans="1:3" ht="16" x14ac:dyDescent="0.2">
      <c r="A11" s="9" t="s">
        <v>837</v>
      </c>
      <c r="B11" s="12" t="s">
        <v>851</v>
      </c>
      <c r="C11" s="10" t="s">
        <v>998</v>
      </c>
    </row>
    <row r="12" spans="1:3" ht="16" x14ac:dyDescent="0.2">
      <c r="A12" s="9" t="s">
        <v>838</v>
      </c>
      <c r="B12" s="12" t="s">
        <v>852</v>
      </c>
      <c r="C12" s="10" t="s">
        <v>1002</v>
      </c>
    </row>
    <row r="13" spans="1:3" ht="16" x14ac:dyDescent="0.2">
      <c r="A13" s="9" t="s">
        <v>1120</v>
      </c>
      <c r="B13" s="13" t="s">
        <v>1121</v>
      </c>
      <c r="C13" s="10" t="s">
        <v>1145</v>
      </c>
    </row>
    <row r="14" spans="1:3" ht="32" x14ac:dyDescent="0.2">
      <c r="A14" s="9" t="s">
        <v>839</v>
      </c>
      <c r="B14" s="12" t="s">
        <v>853</v>
      </c>
      <c r="C14" s="10" t="s">
        <v>1001</v>
      </c>
    </row>
    <row r="15" spans="1:3" ht="32" x14ac:dyDescent="0.2">
      <c r="A15" s="9" t="s">
        <v>840</v>
      </c>
      <c r="B15" s="12" t="s">
        <v>854</v>
      </c>
      <c r="C15" s="10" t="s">
        <v>1000</v>
      </c>
    </row>
    <row r="16" spans="1:3" ht="16" x14ac:dyDescent="0.2">
      <c r="A16" s="9" t="s">
        <v>888</v>
      </c>
      <c r="B16" s="12" t="s">
        <v>855</v>
      </c>
      <c r="C16" s="10" t="s">
        <v>941</v>
      </c>
    </row>
    <row r="17" spans="1:3" ht="16" x14ac:dyDescent="0.2">
      <c r="A17" s="9" t="s">
        <v>944</v>
      </c>
      <c r="B17" s="12" t="s">
        <v>856</v>
      </c>
      <c r="C17" s="10" t="s">
        <v>942</v>
      </c>
    </row>
    <row r="18" spans="1:3" ht="16" x14ac:dyDescent="0.2">
      <c r="A18" s="9" t="s">
        <v>947</v>
      </c>
      <c r="B18" s="13" t="s">
        <v>889</v>
      </c>
      <c r="C18" s="10" t="s">
        <v>1003</v>
      </c>
    </row>
    <row r="19" spans="1:3" ht="16" x14ac:dyDescent="0.2">
      <c r="A19" s="9" t="s">
        <v>1009</v>
      </c>
      <c r="B19" s="13" t="s">
        <v>943</v>
      </c>
      <c r="C19" s="10" t="s">
        <v>945</v>
      </c>
    </row>
    <row r="20" spans="1:3" ht="16" x14ac:dyDescent="0.2">
      <c r="A20" s="9" t="s">
        <v>1122</v>
      </c>
      <c r="B20" s="13" t="s">
        <v>946</v>
      </c>
      <c r="C20" s="10" t="s">
        <v>993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9"/>
  <sheetViews>
    <sheetView workbookViewId="0">
      <selection activeCell="B231" sqref="B231"/>
    </sheetView>
  </sheetViews>
  <sheetFormatPr baseColWidth="10" defaultRowHeight="15" x14ac:dyDescent="0.2"/>
  <cols>
    <col min="1" max="1" width="32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s="1">
        <v>0</v>
      </c>
      <c r="C2" s="1">
        <v>118000000</v>
      </c>
      <c r="D2" s="1">
        <v>0</v>
      </c>
      <c r="E2" s="1">
        <v>79500000</v>
      </c>
      <c r="F2" s="1">
        <v>1280000000</v>
      </c>
      <c r="G2" s="1">
        <v>12000000</v>
      </c>
      <c r="H2" s="1">
        <v>657000</v>
      </c>
      <c r="I2" s="1">
        <v>0</v>
      </c>
      <c r="J2" s="1">
        <v>433000000</v>
      </c>
      <c r="K2" s="1">
        <v>2680000000</v>
      </c>
      <c r="L2" s="1">
        <v>0</v>
      </c>
      <c r="M2" s="1">
        <v>516000000</v>
      </c>
      <c r="N2" s="1">
        <v>5120000000</v>
      </c>
    </row>
    <row r="3" spans="1:14" x14ac:dyDescent="0.2">
      <c r="A3" t="s">
        <v>15</v>
      </c>
      <c r="B3" s="1">
        <v>0</v>
      </c>
      <c r="C3" s="1">
        <v>178000000</v>
      </c>
      <c r="D3" s="1">
        <v>0</v>
      </c>
      <c r="E3" s="1">
        <v>63000000</v>
      </c>
      <c r="F3" s="1">
        <v>1430000000</v>
      </c>
      <c r="G3" s="1">
        <v>16600000</v>
      </c>
      <c r="H3" s="1">
        <v>630000</v>
      </c>
      <c r="I3" s="1">
        <v>0</v>
      </c>
      <c r="J3" s="1">
        <v>400000000</v>
      </c>
      <c r="K3" s="1">
        <v>2750000000</v>
      </c>
      <c r="L3" s="1">
        <v>0</v>
      </c>
      <c r="M3" s="1">
        <v>832000000</v>
      </c>
      <c r="N3" s="1">
        <v>5660000000</v>
      </c>
    </row>
    <row r="4" spans="1:14" x14ac:dyDescent="0.2">
      <c r="A4" t="s">
        <v>16</v>
      </c>
      <c r="B4" s="1">
        <v>0</v>
      </c>
      <c r="C4" s="1">
        <v>95700000</v>
      </c>
      <c r="D4" s="1">
        <v>0</v>
      </c>
      <c r="E4" s="1">
        <v>73300000</v>
      </c>
      <c r="F4" s="1">
        <v>1360000000</v>
      </c>
      <c r="G4" s="1">
        <v>16000000</v>
      </c>
      <c r="H4" s="1">
        <v>17500000</v>
      </c>
      <c r="I4" s="1">
        <v>0</v>
      </c>
      <c r="J4" s="1">
        <v>338000000</v>
      </c>
      <c r="K4" s="1">
        <v>3190000000</v>
      </c>
      <c r="L4" s="1">
        <v>0</v>
      </c>
      <c r="M4" s="1">
        <v>504000000</v>
      </c>
      <c r="N4" s="1">
        <v>5590000000</v>
      </c>
    </row>
    <row r="5" spans="1:14" x14ac:dyDescent="0.2">
      <c r="A5" t="s">
        <v>17</v>
      </c>
      <c r="B5" s="1">
        <v>15500000</v>
      </c>
      <c r="C5" s="1">
        <v>0</v>
      </c>
      <c r="D5" s="1">
        <v>0</v>
      </c>
      <c r="E5" s="1">
        <v>7580000</v>
      </c>
      <c r="F5" s="1">
        <v>191000000</v>
      </c>
      <c r="G5" s="1">
        <v>14500000</v>
      </c>
      <c r="H5" s="1">
        <v>423000</v>
      </c>
      <c r="I5" s="1">
        <v>0</v>
      </c>
      <c r="J5" s="1">
        <v>142000000</v>
      </c>
      <c r="K5" s="1">
        <v>480000000</v>
      </c>
      <c r="L5" s="1">
        <v>0</v>
      </c>
      <c r="M5" s="1">
        <v>1120000000</v>
      </c>
      <c r="N5" s="1">
        <v>1970000000</v>
      </c>
    </row>
    <row r="6" spans="1:14" x14ac:dyDescent="0.2">
      <c r="A6" t="s">
        <v>18</v>
      </c>
      <c r="B6" s="1">
        <v>11400000</v>
      </c>
      <c r="C6" s="1">
        <v>0</v>
      </c>
      <c r="D6" s="1">
        <v>0</v>
      </c>
      <c r="E6" s="1">
        <v>7280000</v>
      </c>
      <c r="F6" s="1">
        <v>213000000</v>
      </c>
      <c r="G6" s="1">
        <v>12500000</v>
      </c>
      <c r="H6" s="1">
        <v>237000</v>
      </c>
      <c r="I6" s="1">
        <v>0</v>
      </c>
      <c r="J6" s="1">
        <v>111000000</v>
      </c>
      <c r="K6" s="1">
        <v>503000000</v>
      </c>
      <c r="L6" s="1">
        <v>0</v>
      </c>
      <c r="M6" s="1">
        <v>646000000</v>
      </c>
      <c r="N6" s="1">
        <v>1500000000</v>
      </c>
    </row>
    <row r="7" spans="1:14" x14ac:dyDescent="0.2">
      <c r="A7" t="s">
        <v>19</v>
      </c>
      <c r="B7" s="1">
        <v>18300000</v>
      </c>
      <c r="C7" s="1">
        <v>0</v>
      </c>
      <c r="D7" s="1">
        <v>0</v>
      </c>
      <c r="E7" s="1">
        <v>6050000</v>
      </c>
      <c r="F7" s="1">
        <v>240000000</v>
      </c>
      <c r="G7" s="1">
        <v>11200000</v>
      </c>
      <c r="H7" s="1">
        <v>168000</v>
      </c>
      <c r="I7" s="1">
        <v>0</v>
      </c>
      <c r="J7" s="1">
        <v>112000000</v>
      </c>
      <c r="K7" s="1">
        <v>640000000</v>
      </c>
      <c r="L7" s="1">
        <v>0</v>
      </c>
      <c r="M7" s="1">
        <v>650000000</v>
      </c>
      <c r="N7" s="1">
        <v>1680000000</v>
      </c>
    </row>
    <row r="8" spans="1:14" x14ac:dyDescent="0.2">
      <c r="A8" t="s">
        <v>20</v>
      </c>
      <c r="B8" s="1">
        <v>333000000</v>
      </c>
      <c r="C8" s="1">
        <v>0</v>
      </c>
      <c r="D8" s="1">
        <v>0</v>
      </c>
      <c r="E8" s="1">
        <v>6550000</v>
      </c>
      <c r="F8" s="1">
        <v>630000000</v>
      </c>
      <c r="G8" s="1">
        <v>19500000</v>
      </c>
      <c r="H8" s="1">
        <v>673000</v>
      </c>
      <c r="I8" s="1">
        <v>0</v>
      </c>
      <c r="J8" s="1">
        <v>90500000</v>
      </c>
      <c r="K8" s="1">
        <v>530000000</v>
      </c>
      <c r="L8" s="1">
        <v>0</v>
      </c>
      <c r="M8" s="1">
        <v>1070000000</v>
      </c>
      <c r="N8" s="1">
        <v>2680000000</v>
      </c>
    </row>
    <row r="9" spans="1:14" x14ac:dyDescent="0.2">
      <c r="A9" t="s">
        <v>21</v>
      </c>
      <c r="B9" s="1">
        <v>149000000</v>
      </c>
      <c r="C9" s="1">
        <v>0</v>
      </c>
      <c r="D9" s="1">
        <v>0</v>
      </c>
      <c r="E9" s="1">
        <v>7850000</v>
      </c>
      <c r="F9" s="1">
        <v>261000000</v>
      </c>
      <c r="G9" s="1">
        <v>15200000</v>
      </c>
      <c r="H9" s="1">
        <v>440000</v>
      </c>
      <c r="I9" s="1">
        <v>0</v>
      </c>
      <c r="J9" s="1">
        <v>91000000</v>
      </c>
      <c r="K9" s="1">
        <v>557000000</v>
      </c>
      <c r="L9" s="1">
        <v>0</v>
      </c>
      <c r="M9" s="1">
        <v>632000000</v>
      </c>
      <c r="N9" s="1">
        <v>1710000000</v>
      </c>
    </row>
    <row r="10" spans="1:14" x14ac:dyDescent="0.2">
      <c r="A10" t="s">
        <v>22</v>
      </c>
      <c r="B10" s="1">
        <v>273000000</v>
      </c>
      <c r="C10" s="1">
        <v>0</v>
      </c>
      <c r="D10" s="1">
        <v>0</v>
      </c>
      <c r="E10" s="1">
        <v>10100000</v>
      </c>
      <c r="F10" s="1">
        <v>154000000</v>
      </c>
      <c r="G10" s="1">
        <v>15200000</v>
      </c>
      <c r="H10" s="1">
        <v>337000</v>
      </c>
      <c r="I10" s="1">
        <v>163000</v>
      </c>
      <c r="J10" s="1">
        <v>102000000</v>
      </c>
      <c r="K10" s="1">
        <v>527000000</v>
      </c>
      <c r="L10" s="1">
        <v>0</v>
      </c>
      <c r="M10" s="1">
        <v>918000000</v>
      </c>
      <c r="N10" s="1">
        <v>2000000000</v>
      </c>
    </row>
    <row r="11" spans="1:14" x14ac:dyDescent="0.2">
      <c r="A11" t="s">
        <v>23</v>
      </c>
      <c r="B11" s="1">
        <v>72800000</v>
      </c>
      <c r="C11" s="1">
        <v>0</v>
      </c>
      <c r="D11" s="1">
        <v>0</v>
      </c>
      <c r="E11" s="1">
        <v>0</v>
      </c>
      <c r="F11" s="1">
        <v>590000000</v>
      </c>
      <c r="G11" s="1">
        <v>15400000</v>
      </c>
      <c r="H11" s="1">
        <v>1010000</v>
      </c>
      <c r="I11" s="1">
        <v>67000000</v>
      </c>
      <c r="J11" s="1">
        <v>79800000</v>
      </c>
      <c r="K11" s="1">
        <v>433000000</v>
      </c>
      <c r="L11" s="1">
        <v>0</v>
      </c>
      <c r="M11" s="1">
        <v>754000000</v>
      </c>
      <c r="N11" s="1">
        <v>2010000000</v>
      </c>
    </row>
    <row r="12" spans="1:14" x14ac:dyDescent="0.2">
      <c r="A12" t="s">
        <v>24</v>
      </c>
      <c r="B12" s="1">
        <v>181000000</v>
      </c>
      <c r="C12" s="1">
        <v>0</v>
      </c>
      <c r="D12" s="1">
        <v>0</v>
      </c>
      <c r="E12" s="1">
        <v>0</v>
      </c>
      <c r="F12" s="1">
        <v>242000000</v>
      </c>
      <c r="G12" s="1">
        <v>19400000</v>
      </c>
      <c r="H12" s="1">
        <v>843000</v>
      </c>
      <c r="I12" s="1">
        <v>1210000</v>
      </c>
      <c r="J12" s="1">
        <v>88500000</v>
      </c>
      <c r="K12" s="1">
        <v>517000000</v>
      </c>
      <c r="L12" s="1">
        <v>0</v>
      </c>
      <c r="M12" s="1">
        <v>936000000</v>
      </c>
      <c r="N12" s="1">
        <v>1990000000</v>
      </c>
    </row>
    <row r="13" spans="1:14" x14ac:dyDescent="0.2">
      <c r="A13" t="s">
        <v>25</v>
      </c>
      <c r="B13" s="1">
        <v>204000000</v>
      </c>
      <c r="C13" s="1">
        <v>40700</v>
      </c>
      <c r="D13" s="1">
        <v>0</v>
      </c>
      <c r="E13" s="1">
        <v>0</v>
      </c>
      <c r="F13" s="1">
        <v>119000000</v>
      </c>
      <c r="G13" s="1">
        <v>14200000</v>
      </c>
      <c r="H13" s="1">
        <v>560000</v>
      </c>
      <c r="I13" s="1">
        <v>0</v>
      </c>
      <c r="J13" s="1">
        <v>69500000</v>
      </c>
      <c r="K13" s="1">
        <v>463000000</v>
      </c>
      <c r="L13" s="1">
        <v>0</v>
      </c>
      <c r="M13" s="1">
        <v>580000000</v>
      </c>
      <c r="N13" s="1">
        <v>1450000000</v>
      </c>
    </row>
    <row r="14" spans="1:14" x14ac:dyDescent="0.2">
      <c r="A14" t="s">
        <v>26</v>
      </c>
      <c r="B14" s="1">
        <v>288000000</v>
      </c>
      <c r="C14" s="1">
        <v>0</v>
      </c>
      <c r="D14" s="1">
        <v>0</v>
      </c>
      <c r="E14" s="1">
        <v>0</v>
      </c>
      <c r="F14" s="1">
        <v>0</v>
      </c>
      <c r="G14" s="1">
        <v>23000000</v>
      </c>
      <c r="H14" s="1">
        <v>360000</v>
      </c>
      <c r="I14" s="1">
        <v>0</v>
      </c>
      <c r="J14" s="1">
        <v>133000000</v>
      </c>
      <c r="K14" s="1">
        <v>653000000</v>
      </c>
      <c r="L14" s="1">
        <v>0</v>
      </c>
      <c r="M14" s="1">
        <v>2020000000</v>
      </c>
      <c r="N14" s="1">
        <v>3120000000</v>
      </c>
    </row>
    <row r="15" spans="1:14" x14ac:dyDescent="0.2">
      <c r="A15" t="s">
        <v>27</v>
      </c>
      <c r="B15" s="1">
        <v>241000000</v>
      </c>
      <c r="C15" s="1">
        <v>0</v>
      </c>
      <c r="D15" s="1">
        <v>0</v>
      </c>
      <c r="E15" s="1">
        <v>20800000</v>
      </c>
      <c r="F15" s="1">
        <v>0</v>
      </c>
      <c r="G15" s="1">
        <v>18300000</v>
      </c>
      <c r="H15" s="1">
        <v>308000</v>
      </c>
      <c r="I15" s="1">
        <v>0</v>
      </c>
      <c r="J15" s="1">
        <v>115000000</v>
      </c>
      <c r="K15" s="1">
        <v>523000000</v>
      </c>
      <c r="L15" s="1">
        <v>0</v>
      </c>
      <c r="M15" s="1">
        <v>1210000000</v>
      </c>
      <c r="N15" s="1">
        <v>2130000000</v>
      </c>
    </row>
    <row r="16" spans="1:14" x14ac:dyDescent="0.2">
      <c r="A16" t="s">
        <v>28</v>
      </c>
      <c r="B16" s="1">
        <v>523000000</v>
      </c>
      <c r="C16" s="1">
        <v>0</v>
      </c>
      <c r="D16" s="1">
        <v>0</v>
      </c>
      <c r="E16" s="1">
        <v>23500000</v>
      </c>
      <c r="F16" s="1">
        <v>0</v>
      </c>
      <c r="G16" s="1">
        <v>15300000</v>
      </c>
      <c r="H16" s="1">
        <v>172000</v>
      </c>
      <c r="I16" s="1">
        <v>0</v>
      </c>
      <c r="J16" s="1">
        <v>107000000</v>
      </c>
      <c r="K16" s="1">
        <v>360000000</v>
      </c>
      <c r="L16" s="1">
        <v>0</v>
      </c>
      <c r="M16" s="1">
        <v>1120000000</v>
      </c>
      <c r="N16" s="1">
        <v>2150000000</v>
      </c>
    </row>
    <row r="17" spans="1:14" x14ac:dyDescent="0.2">
      <c r="A17" t="s">
        <v>29</v>
      </c>
      <c r="B17" s="1">
        <v>265000000</v>
      </c>
      <c r="C17" s="1">
        <v>0</v>
      </c>
      <c r="D17" s="1">
        <v>0</v>
      </c>
      <c r="E17" s="1">
        <v>4600000</v>
      </c>
      <c r="F17" s="1">
        <v>186000000</v>
      </c>
      <c r="G17" s="1">
        <v>0</v>
      </c>
      <c r="H17" s="1">
        <v>217000</v>
      </c>
      <c r="I17" s="1">
        <v>0</v>
      </c>
      <c r="J17" s="1">
        <v>146000000</v>
      </c>
      <c r="K17" s="1">
        <v>523000000</v>
      </c>
      <c r="L17" s="1">
        <v>0</v>
      </c>
      <c r="M17" s="1">
        <v>1330000000</v>
      </c>
      <c r="N17" s="1">
        <v>2460000000</v>
      </c>
    </row>
    <row r="18" spans="1:14" x14ac:dyDescent="0.2">
      <c r="A18" t="s">
        <v>30</v>
      </c>
      <c r="B18" s="1">
        <v>670000000</v>
      </c>
      <c r="C18" s="1">
        <v>136000</v>
      </c>
      <c r="D18" s="1">
        <v>0</v>
      </c>
      <c r="E18" s="1">
        <v>4450000</v>
      </c>
      <c r="F18" s="1">
        <v>71500000</v>
      </c>
      <c r="G18" s="1">
        <v>0</v>
      </c>
      <c r="H18" s="1">
        <v>160000</v>
      </c>
      <c r="I18" s="1">
        <v>0</v>
      </c>
      <c r="J18" s="1">
        <v>118000000</v>
      </c>
      <c r="K18" s="1">
        <v>463000000</v>
      </c>
      <c r="L18" s="1">
        <v>0</v>
      </c>
      <c r="M18" s="1">
        <v>1120000000</v>
      </c>
      <c r="N18" s="1">
        <v>2450000000</v>
      </c>
    </row>
    <row r="19" spans="1:14" x14ac:dyDescent="0.2">
      <c r="A19" t="s">
        <v>31</v>
      </c>
      <c r="B19" s="1">
        <v>278000000</v>
      </c>
      <c r="C19" s="1">
        <v>0</v>
      </c>
      <c r="D19" s="1">
        <v>0</v>
      </c>
      <c r="E19" s="1">
        <v>8480000</v>
      </c>
      <c r="F19" s="1">
        <v>51000000</v>
      </c>
      <c r="G19" s="1">
        <v>0</v>
      </c>
      <c r="H19" s="1">
        <v>138000</v>
      </c>
      <c r="I19" s="1">
        <v>0</v>
      </c>
      <c r="J19" s="1">
        <v>110000000</v>
      </c>
      <c r="K19" s="1">
        <v>547000000</v>
      </c>
      <c r="L19" s="1">
        <v>0</v>
      </c>
      <c r="M19" s="1">
        <v>1300000000</v>
      </c>
      <c r="N19" s="1">
        <v>2300000000</v>
      </c>
    </row>
    <row r="20" spans="1:14" x14ac:dyDescent="0.2">
      <c r="A20" t="s">
        <v>32</v>
      </c>
      <c r="B20" s="1">
        <v>413000000</v>
      </c>
      <c r="C20" s="1">
        <v>0</v>
      </c>
      <c r="D20" s="1">
        <v>0</v>
      </c>
      <c r="E20" s="1">
        <v>9430000</v>
      </c>
      <c r="F20" s="1">
        <v>53500000</v>
      </c>
      <c r="G20" s="1">
        <v>12600000</v>
      </c>
      <c r="H20" s="1">
        <v>0</v>
      </c>
      <c r="I20" s="1">
        <v>0</v>
      </c>
      <c r="J20" s="1">
        <v>118000000</v>
      </c>
      <c r="K20" s="1">
        <v>331000000</v>
      </c>
      <c r="L20" s="1">
        <v>0</v>
      </c>
      <c r="M20" s="1">
        <v>1660000000</v>
      </c>
      <c r="N20" s="1">
        <v>2600000000</v>
      </c>
    </row>
    <row r="21" spans="1:14" x14ac:dyDescent="0.2">
      <c r="A21" t="s">
        <v>33</v>
      </c>
      <c r="B21" s="1">
        <v>335000000</v>
      </c>
      <c r="C21" s="1">
        <v>0</v>
      </c>
      <c r="D21" s="1">
        <v>0</v>
      </c>
      <c r="E21" s="1">
        <v>12600000</v>
      </c>
      <c r="F21" s="1">
        <v>64500000</v>
      </c>
      <c r="G21" s="1">
        <v>12100000</v>
      </c>
      <c r="H21" s="1">
        <v>0</v>
      </c>
      <c r="I21" s="1">
        <v>0</v>
      </c>
      <c r="J21" s="1">
        <v>149000000</v>
      </c>
      <c r="K21" s="1">
        <v>390000000</v>
      </c>
      <c r="L21" s="1">
        <v>0</v>
      </c>
      <c r="M21" s="1">
        <v>1330000000</v>
      </c>
      <c r="N21" s="1">
        <v>2290000000</v>
      </c>
    </row>
    <row r="22" spans="1:14" x14ac:dyDescent="0.2">
      <c r="A22" t="s">
        <v>34</v>
      </c>
      <c r="B22" s="1">
        <v>216000000</v>
      </c>
      <c r="C22" s="1">
        <v>0</v>
      </c>
      <c r="D22" s="1">
        <v>0</v>
      </c>
      <c r="E22" s="1">
        <v>16400000</v>
      </c>
      <c r="F22" s="1">
        <v>83500000</v>
      </c>
      <c r="G22" s="1">
        <v>10600000</v>
      </c>
      <c r="H22" s="1">
        <v>0</v>
      </c>
      <c r="I22" s="1">
        <v>0</v>
      </c>
      <c r="J22" s="1">
        <v>72300000</v>
      </c>
      <c r="K22" s="1">
        <v>403000000</v>
      </c>
      <c r="L22" s="1">
        <v>0</v>
      </c>
      <c r="M22" s="1">
        <v>822000000</v>
      </c>
      <c r="N22" s="1">
        <v>1620000000</v>
      </c>
    </row>
    <row r="23" spans="1:14" x14ac:dyDescent="0.2">
      <c r="A23" t="s">
        <v>35</v>
      </c>
      <c r="B23" s="1">
        <v>310000000</v>
      </c>
      <c r="C23" s="1">
        <v>0</v>
      </c>
      <c r="D23" s="1">
        <v>0</v>
      </c>
      <c r="E23" s="1">
        <v>14400000</v>
      </c>
      <c r="F23" s="1">
        <v>96500000</v>
      </c>
      <c r="G23" s="1">
        <v>13800000</v>
      </c>
      <c r="H23" s="1">
        <v>222000</v>
      </c>
      <c r="I23" s="1">
        <v>0</v>
      </c>
      <c r="J23" s="1">
        <v>138000000</v>
      </c>
      <c r="K23" s="1">
        <v>517000000</v>
      </c>
      <c r="L23" s="1">
        <v>0</v>
      </c>
      <c r="M23" s="1">
        <v>1700000000</v>
      </c>
      <c r="N23" s="1">
        <v>2790000000</v>
      </c>
    </row>
    <row r="24" spans="1:14" x14ac:dyDescent="0.2">
      <c r="A24" t="s">
        <v>36</v>
      </c>
      <c r="B24" s="1">
        <v>205000000</v>
      </c>
      <c r="C24" s="1">
        <v>0</v>
      </c>
      <c r="D24" s="1">
        <v>0</v>
      </c>
      <c r="E24" s="1">
        <v>10400000</v>
      </c>
      <c r="F24" s="1">
        <v>72000000</v>
      </c>
      <c r="G24" s="1">
        <v>13500000</v>
      </c>
      <c r="H24" s="1">
        <v>163000</v>
      </c>
      <c r="I24" s="1">
        <v>0</v>
      </c>
      <c r="J24" s="1">
        <v>122000000</v>
      </c>
      <c r="K24" s="1">
        <v>353000000</v>
      </c>
      <c r="L24" s="1">
        <v>0</v>
      </c>
      <c r="M24" s="1">
        <v>500000000</v>
      </c>
      <c r="N24" s="1">
        <v>1280000000</v>
      </c>
    </row>
    <row r="25" spans="1:14" x14ac:dyDescent="0.2">
      <c r="A25" t="s">
        <v>37</v>
      </c>
      <c r="B25" s="1">
        <v>610000000</v>
      </c>
      <c r="C25" s="1">
        <v>0</v>
      </c>
      <c r="D25" s="1">
        <v>0</v>
      </c>
      <c r="E25" s="1">
        <v>12900000</v>
      </c>
      <c r="F25" s="1">
        <v>34000000</v>
      </c>
      <c r="G25" s="1">
        <v>11400000</v>
      </c>
      <c r="H25" s="1">
        <v>157000</v>
      </c>
      <c r="I25" s="1">
        <v>0</v>
      </c>
      <c r="J25" s="1">
        <v>118000000</v>
      </c>
      <c r="K25" s="1">
        <v>293000000</v>
      </c>
      <c r="L25" s="1">
        <v>0</v>
      </c>
      <c r="M25" s="1">
        <v>480000000</v>
      </c>
      <c r="N25" s="1">
        <v>1560000000</v>
      </c>
    </row>
    <row r="26" spans="1:14" x14ac:dyDescent="0.2">
      <c r="A26" t="s">
        <v>38</v>
      </c>
      <c r="B26" s="1">
        <v>0</v>
      </c>
      <c r="C26" s="1">
        <v>0</v>
      </c>
      <c r="D26" s="1">
        <v>0</v>
      </c>
      <c r="E26" s="1">
        <v>5100000</v>
      </c>
      <c r="F26" s="1">
        <v>825000000</v>
      </c>
      <c r="G26" s="1">
        <v>22400000</v>
      </c>
      <c r="H26" s="1">
        <v>247000</v>
      </c>
      <c r="I26" s="1">
        <v>325000</v>
      </c>
      <c r="J26" s="1">
        <v>0</v>
      </c>
      <c r="K26" s="1">
        <v>630000000</v>
      </c>
      <c r="L26" s="1">
        <v>0</v>
      </c>
      <c r="M26" s="1">
        <v>1330000000</v>
      </c>
      <c r="N26" s="1">
        <v>2810000000</v>
      </c>
    </row>
    <row r="27" spans="1:14" x14ac:dyDescent="0.2">
      <c r="A27" t="s">
        <v>39</v>
      </c>
      <c r="B27" s="1">
        <v>750000000</v>
      </c>
      <c r="C27" s="1">
        <v>0</v>
      </c>
      <c r="D27" s="1">
        <v>0</v>
      </c>
      <c r="E27" s="1">
        <v>2680000</v>
      </c>
      <c r="F27" s="1">
        <v>520000000</v>
      </c>
      <c r="G27" s="1">
        <v>11100000</v>
      </c>
      <c r="H27" s="1">
        <v>93700</v>
      </c>
      <c r="I27" s="1">
        <v>8820000</v>
      </c>
      <c r="J27" s="1">
        <v>0</v>
      </c>
      <c r="K27" s="1">
        <v>360000000</v>
      </c>
      <c r="L27" s="1">
        <v>0</v>
      </c>
      <c r="M27" s="1">
        <v>892000000</v>
      </c>
      <c r="N27" s="1">
        <v>2540000000</v>
      </c>
    </row>
    <row r="28" spans="1:14" x14ac:dyDescent="0.2">
      <c r="A28" t="s">
        <v>40</v>
      </c>
      <c r="B28" s="1">
        <v>550000000</v>
      </c>
      <c r="C28" s="1">
        <v>69700</v>
      </c>
      <c r="D28" s="1">
        <v>0</v>
      </c>
      <c r="E28" s="1">
        <v>12500000</v>
      </c>
      <c r="F28" s="1">
        <v>322000000</v>
      </c>
      <c r="G28" s="1">
        <v>13900000</v>
      </c>
      <c r="H28" s="1">
        <v>154000</v>
      </c>
      <c r="I28" s="1">
        <v>6400000</v>
      </c>
      <c r="J28" s="1">
        <v>0</v>
      </c>
      <c r="K28" s="1">
        <v>305000000</v>
      </c>
      <c r="L28" s="1">
        <v>0</v>
      </c>
      <c r="M28" s="1">
        <v>508000000</v>
      </c>
      <c r="N28" s="1">
        <v>1720000000</v>
      </c>
    </row>
    <row r="29" spans="1:14" x14ac:dyDescent="0.2">
      <c r="A29" t="s">
        <v>41</v>
      </c>
      <c r="B29" s="1">
        <v>605000000</v>
      </c>
      <c r="C29" s="1">
        <v>0</v>
      </c>
      <c r="D29" s="1">
        <v>0</v>
      </c>
      <c r="E29" s="1">
        <v>11000000</v>
      </c>
      <c r="F29" s="1">
        <v>630000000</v>
      </c>
      <c r="G29" s="1">
        <v>15300000</v>
      </c>
      <c r="H29" s="1">
        <v>190000</v>
      </c>
      <c r="I29" s="1">
        <v>0</v>
      </c>
      <c r="J29" s="1">
        <v>176000000</v>
      </c>
      <c r="K29" s="1">
        <v>0</v>
      </c>
      <c r="L29" s="1">
        <v>0</v>
      </c>
      <c r="M29" s="1">
        <v>1740000000</v>
      </c>
      <c r="N29" s="1">
        <v>3180000000</v>
      </c>
    </row>
    <row r="30" spans="1:14" x14ac:dyDescent="0.2">
      <c r="A30" t="s">
        <v>42</v>
      </c>
      <c r="B30" s="1">
        <v>815000000</v>
      </c>
      <c r="C30" s="1">
        <v>0</v>
      </c>
      <c r="D30" s="1">
        <v>0</v>
      </c>
      <c r="E30" s="1">
        <v>27500000</v>
      </c>
      <c r="F30" s="1">
        <v>68000000</v>
      </c>
      <c r="G30" s="1">
        <v>18600000</v>
      </c>
      <c r="H30" s="1">
        <v>350000</v>
      </c>
      <c r="I30" s="1">
        <v>0</v>
      </c>
      <c r="J30" s="1">
        <v>174000000</v>
      </c>
      <c r="K30" s="1">
        <v>0</v>
      </c>
      <c r="L30" s="1">
        <v>0</v>
      </c>
      <c r="M30" s="1">
        <v>1220000000</v>
      </c>
      <c r="N30" s="1">
        <v>2320000000</v>
      </c>
    </row>
    <row r="31" spans="1:14" x14ac:dyDescent="0.2">
      <c r="A31" t="s">
        <v>43</v>
      </c>
      <c r="B31" s="1">
        <v>598000000</v>
      </c>
      <c r="C31" s="1">
        <v>0</v>
      </c>
      <c r="D31" s="1">
        <v>0</v>
      </c>
      <c r="E31" s="1">
        <v>2500000</v>
      </c>
      <c r="F31" s="1">
        <v>525000000</v>
      </c>
      <c r="G31" s="1">
        <v>14200000</v>
      </c>
      <c r="H31" s="1">
        <v>135000</v>
      </c>
      <c r="I31" s="1">
        <v>0</v>
      </c>
      <c r="J31" s="1">
        <v>139000000</v>
      </c>
      <c r="K31" s="1">
        <v>337000000</v>
      </c>
      <c r="L31" s="1">
        <v>0</v>
      </c>
      <c r="M31" s="1">
        <v>786000000</v>
      </c>
      <c r="N31" s="1">
        <v>2400000000</v>
      </c>
    </row>
    <row r="32" spans="1:14" x14ac:dyDescent="0.2">
      <c r="A32" t="s">
        <v>44</v>
      </c>
      <c r="B32" s="1">
        <v>204000000</v>
      </c>
      <c r="C32" s="1">
        <v>0</v>
      </c>
      <c r="D32" s="1">
        <v>0</v>
      </c>
      <c r="E32" s="1">
        <v>4980000</v>
      </c>
      <c r="F32" s="1">
        <v>131000000</v>
      </c>
      <c r="G32" s="1">
        <v>17800000</v>
      </c>
      <c r="H32" s="1">
        <v>174000</v>
      </c>
      <c r="I32" s="1">
        <v>0</v>
      </c>
      <c r="J32" s="1">
        <v>120000000</v>
      </c>
      <c r="K32" s="1">
        <v>487000000</v>
      </c>
      <c r="L32" s="1">
        <v>0</v>
      </c>
      <c r="M32" s="1">
        <v>1010000000</v>
      </c>
      <c r="N32" s="1">
        <v>1980000000</v>
      </c>
    </row>
    <row r="33" spans="1:14" x14ac:dyDescent="0.2">
      <c r="A33" t="s">
        <v>45</v>
      </c>
      <c r="B33" s="1">
        <v>660000000</v>
      </c>
      <c r="C33" s="1">
        <v>0</v>
      </c>
      <c r="D33" s="1">
        <v>0</v>
      </c>
      <c r="E33" s="1">
        <v>8950000</v>
      </c>
      <c r="F33" s="1">
        <v>199000000</v>
      </c>
      <c r="G33" s="1">
        <v>15600000</v>
      </c>
      <c r="H33" s="1">
        <v>127000</v>
      </c>
      <c r="I33" s="1">
        <v>0</v>
      </c>
      <c r="J33" s="1">
        <v>111000000</v>
      </c>
      <c r="K33" s="1">
        <v>357000000</v>
      </c>
      <c r="L33" s="1">
        <v>0</v>
      </c>
      <c r="M33" s="1">
        <v>1130000000</v>
      </c>
      <c r="N33" s="1">
        <v>2480000000</v>
      </c>
    </row>
    <row r="34" spans="1:14" x14ac:dyDescent="0.2">
      <c r="A34" t="s">
        <v>46</v>
      </c>
      <c r="B34" s="1">
        <v>328000000</v>
      </c>
      <c r="C34" s="1">
        <v>0</v>
      </c>
      <c r="D34" s="1">
        <v>0</v>
      </c>
      <c r="E34" s="1">
        <v>0</v>
      </c>
      <c r="F34" s="1">
        <v>171000000</v>
      </c>
      <c r="G34" s="1">
        <v>43200000</v>
      </c>
      <c r="H34" s="1">
        <v>264000</v>
      </c>
      <c r="I34" s="1">
        <v>28500000</v>
      </c>
      <c r="J34" s="1">
        <v>101000000</v>
      </c>
      <c r="K34" s="1">
        <v>367000000</v>
      </c>
      <c r="L34" s="1">
        <v>0</v>
      </c>
      <c r="M34" s="1">
        <v>0</v>
      </c>
      <c r="N34" s="1">
        <v>1040000000</v>
      </c>
    </row>
    <row r="35" spans="1:14" x14ac:dyDescent="0.2">
      <c r="A35" t="s">
        <v>47</v>
      </c>
      <c r="B35" s="1">
        <v>533000000</v>
      </c>
      <c r="C35" s="1">
        <v>0</v>
      </c>
      <c r="D35" s="1">
        <v>0</v>
      </c>
      <c r="E35" s="1">
        <v>0</v>
      </c>
      <c r="F35" s="1">
        <v>338000000</v>
      </c>
      <c r="G35" s="1">
        <v>32400000</v>
      </c>
      <c r="H35" s="1">
        <v>178000</v>
      </c>
      <c r="I35" s="1">
        <v>340000</v>
      </c>
      <c r="J35" s="1">
        <v>123000000</v>
      </c>
      <c r="K35" s="1">
        <v>400000000</v>
      </c>
      <c r="L35" s="1">
        <v>0</v>
      </c>
      <c r="M35" s="1">
        <v>0</v>
      </c>
      <c r="N35" s="1">
        <v>1430000000</v>
      </c>
    </row>
    <row r="36" spans="1:14" x14ac:dyDescent="0.2">
      <c r="A36" t="s">
        <v>48</v>
      </c>
      <c r="B36" s="1">
        <v>750000000</v>
      </c>
      <c r="C36" s="1">
        <v>0</v>
      </c>
      <c r="D36" s="1">
        <v>0</v>
      </c>
      <c r="E36" s="1">
        <v>0</v>
      </c>
      <c r="F36" s="1">
        <v>164000000</v>
      </c>
      <c r="G36" s="1">
        <v>45800000</v>
      </c>
      <c r="H36" s="1">
        <v>400000</v>
      </c>
      <c r="I36" s="1">
        <v>103000000</v>
      </c>
      <c r="J36" s="1">
        <v>136000000</v>
      </c>
      <c r="K36" s="1">
        <v>477000000</v>
      </c>
      <c r="L36" s="1">
        <v>144000</v>
      </c>
      <c r="M36" s="1">
        <v>0</v>
      </c>
      <c r="N36" s="1">
        <v>1680000000</v>
      </c>
    </row>
    <row r="37" spans="1:14" x14ac:dyDescent="0.2">
      <c r="A37" t="s">
        <v>49</v>
      </c>
      <c r="B37" s="1">
        <v>313000000</v>
      </c>
      <c r="C37" s="1">
        <v>0</v>
      </c>
      <c r="D37" s="1">
        <v>0</v>
      </c>
      <c r="E37" s="1">
        <v>4280000</v>
      </c>
      <c r="F37" s="1">
        <v>280000000</v>
      </c>
      <c r="G37" s="1">
        <v>19800000</v>
      </c>
      <c r="H37" s="1">
        <v>268000</v>
      </c>
      <c r="I37" s="1">
        <v>0</v>
      </c>
      <c r="J37" s="1">
        <v>143000000</v>
      </c>
      <c r="K37" s="1">
        <v>583000000</v>
      </c>
      <c r="L37" s="1">
        <v>0</v>
      </c>
      <c r="M37" s="1">
        <v>262000000</v>
      </c>
      <c r="N37" s="1">
        <v>1600000000</v>
      </c>
    </row>
    <row r="38" spans="1:14" x14ac:dyDescent="0.2">
      <c r="A38" t="s">
        <v>50</v>
      </c>
      <c r="B38" s="1">
        <v>263000000</v>
      </c>
      <c r="C38" s="1">
        <v>0</v>
      </c>
      <c r="D38" s="1">
        <v>0</v>
      </c>
      <c r="E38" s="1">
        <v>8050000</v>
      </c>
      <c r="F38" s="1">
        <v>135000000</v>
      </c>
      <c r="G38" s="1">
        <v>21600000</v>
      </c>
      <c r="H38" s="1">
        <v>337000</v>
      </c>
      <c r="I38" s="1">
        <v>0</v>
      </c>
      <c r="J38" s="1">
        <v>193000000</v>
      </c>
      <c r="K38" s="1">
        <v>513000000</v>
      </c>
      <c r="L38" s="1">
        <v>0</v>
      </c>
      <c r="M38" s="1">
        <v>370000000</v>
      </c>
      <c r="N38" s="1">
        <v>1500000000</v>
      </c>
    </row>
    <row r="39" spans="1:14" x14ac:dyDescent="0.2">
      <c r="A39" t="s">
        <v>51</v>
      </c>
      <c r="B39" s="1">
        <v>237000000</v>
      </c>
      <c r="C39" s="1">
        <v>0</v>
      </c>
      <c r="D39" s="1">
        <v>0</v>
      </c>
      <c r="E39" s="1">
        <v>5430000</v>
      </c>
      <c r="F39" s="1">
        <v>217000000</v>
      </c>
      <c r="G39" s="1">
        <v>18700000</v>
      </c>
      <c r="H39" s="1">
        <v>373000</v>
      </c>
      <c r="I39" s="1">
        <v>0</v>
      </c>
      <c r="J39" s="1">
        <v>155000000</v>
      </c>
      <c r="K39" s="1">
        <v>610000000</v>
      </c>
      <c r="L39" s="1">
        <v>0</v>
      </c>
      <c r="M39" s="1">
        <v>262000000</v>
      </c>
      <c r="N39" s="1">
        <v>1500000000</v>
      </c>
    </row>
    <row r="40" spans="1:14" x14ac:dyDescent="0.2">
      <c r="A40" t="s">
        <v>52</v>
      </c>
      <c r="B40" s="1">
        <v>0</v>
      </c>
      <c r="C40" s="1">
        <v>150000000</v>
      </c>
      <c r="D40" s="1">
        <v>0</v>
      </c>
      <c r="E40" s="1">
        <v>59300000</v>
      </c>
      <c r="F40" s="1">
        <v>460000000</v>
      </c>
      <c r="G40" s="1">
        <v>35000000</v>
      </c>
      <c r="H40" s="1">
        <v>295000</v>
      </c>
      <c r="I40" s="1">
        <v>2020000</v>
      </c>
      <c r="J40" s="1">
        <v>173000000</v>
      </c>
      <c r="K40" s="1">
        <v>1300000000</v>
      </c>
      <c r="L40" s="1">
        <v>0</v>
      </c>
      <c r="M40" s="1">
        <v>734000000</v>
      </c>
      <c r="N40" s="1">
        <v>2910000000</v>
      </c>
    </row>
    <row r="41" spans="1:14" x14ac:dyDescent="0.2">
      <c r="A41" t="s">
        <v>53</v>
      </c>
      <c r="B41" s="1">
        <v>0</v>
      </c>
      <c r="C41" s="1">
        <v>36300000</v>
      </c>
      <c r="D41" s="1">
        <v>0</v>
      </c>
      <c r="E41" s="1">
        <v>21300000</v>
      </c>
      <c r="F41" s="1">
        <v>309000000</v>
      </c>
      <c r="G41" s="1">
        <v>14400000</v>
      </c>
      <c r="H41" s="1">
        <v>231000</v>
      </c>
      <c r="I41" s="1">
        <v>0</v>
      </c>
      <c r="J41" s="1">
        <v>55000000</v>
      </c>
      <c r="K41" s="1">
        <v>1310000000</v>
      </c>
      <c r="L41" s="1">
        <v>0</v>
      </c>
      <c r="M41" s="1">
        <v>206000000</v>
      </c>
      <c r="N41" s="1">
        <v>1950000000</v>
      </c>
    </row>
    <row r="42" spans="1:14" x14ac:dyDescent="0.2">
      <c r="A42" t="s">
        <v>54</v>
      </c>
      <c r="B42" s="1">
        <v>0</v>
      </c>
      <c r="C42" s="1">
        <v>55300000</v>
      </c>
      <c r="D42" s="1">
        <v>0</v>
      </c>
      <c r="E42" s="1">
        <v>45300000</v>
      </c>
      <c r="F42" s="1">
        <v>367000000</v>
      </c>
      <c r="G42" s="1">
        <v>22800000</v>
      </c>
      <c r="H42" s="1">
        <v>257000</v>
      </c>
      <c r="I42" s="1">
        <v>0</v>
      </c>
      <c r="J42" s="1">
        <v>102000000</v>
      </c>
      <c r="K42" s="1">
        <v>1530000000</v>
      </c>
      <c r="L42" s="1">
        <v>0</v>
      </c>
      <c r="M42" s="1">
        <v>338000000</v>
      </c>
      <c r="N42" s="1">
        <v>2460000000</v>
      </c>
    </row>
    <row r="43" spans="1:14" x14ac:dyDescent="0.2">
      <c r="A43" t="s">
        <v>55</v>
      </c>
      <c r="B43" s="1">
        <v>80800000</v>
      </c>
      <c r="C43" s="1">
        <v>0</v>
      </c>
      <c r="D43" s="1">
        <v>0</v>
      </c>
      <c r="E43" s="1">
        <v>9030000</v>
      </c>
      <c r="F43" s="1">
        <v>143000000</v>
      </c>
      <c r="G43" s="1">
        <v>14900000</v>
      </c>
      <c r="H43" s="1">
        <v>88300</v>
      </c>
      <c r="I43" s="1">
        <v>0</v>
      </c>
      <c r="J43" s="1">
        <v>56800000</v>
      </c>
      <c r="K43" s="1">
        <v>343000000</v>
      </c>
      <c r="L43" s="1">
        <v>0</v>
      </c>
      <c r="M43" s="1">
        <v>424000000</v>
      </c>
      <c r="N43" s="1">
        <v>1070000000</v>
      </c>
    </row>
    <row r="44" spans="1:14" x14ac:dyDescent="0.2">
      <c r="A44" t="s">
        <v>56</v>
      </c>
      <c r="B44" s="1">
        <v>146000000</v>
      </c>
      <c r="C44" s="1">
        <v>0</v>
      </c>
      <c r="D44" s="1">
        <v>0</v>
      </c>
      <c r="E44" s="1">
        <v>3130000</v>
      </c>
      <c r="F44" s="1">
        <v>44500000</v>
      </c>
      <c r="G44" s="1">
        <v>10700000</v>
      </c>
      <c r="H44" s="1">
        <v>0</v>
      </c>
      <c r="I44" s="1">
        <v>0</v>
      </c>
      <c r="J44" s="1">
        <v>54300000</v>
      </c>
      <c r="K44" s="1">
        <v>224000000</v>
      </c>
      <c r="L44" s="1">
        <v>23300</v>
      </c>
      <c r="M44" s="1">
        <v>484000000</v>
      </c>
      <c r="N44" s="1">
        <v>966000000</v>
      </c>
    </row>
    <row r="45" spans="1:14" x14ac:dyDescent="0.2">
      <c r="A45" t="s">
        <v>57</v>
      </c>
      <c r="B45" s="1">
        <v>81800000</v>
      </c>
      <c r="C45" s="1">
        <v>0</v>
      </c>
      <c r="D45" s="1">
        <v>0</v>
      </c>
      <c r="E45" s="1">
        <v>3350000</v>
      </c>
      <c r="F45" s="1">
        <v>38200000</v>
      </c>
      <c r="G45" s="1">
        <v>14200000</v>
      </c>
      <c r="H45" s="1">
        <v>0</v>
      </c>
      <c r="I45" s="1">
        <v>0</v>
      </c>
      <c r="J45" s="1">
        <v>63800000</v>
      </c>
      <c r="K45" s="1">
        <v>275000000</v>
      </c>
      <c r="L45" s="1">
        <v>0</v>
      </c>
      <c r="M45" s="1">
        <v>334000000</v>
      </c>
      <c r="N45" s="1">
        <v>811000000</v>
      </c>
    </row>
    <row r="46" spans="1:14" x14ac:dyDescent="0.2">
      <c r="A46" t="s">
        <v>58</v>
      </c>
      <c r="B46" s="1">
        <v>25800000</v>
      </c>
      <c r="C46" s="1">
        <v>0</v>
      </c>
      <c r="D46" s="1">
        <v>0</v>
      </c>
      <c r="E46" s="1">
        <v>4950000</v>
      </c>
      <c r="F46" s="1">
        <v>100000000</v>
      </c>
      <c r="G46" s="1">
        <v>11700000</v>
      </c>
      <c r="H46" s="1">
        <v>57000</v>
      </c>
      <c r="I46" s="1">
        <v>0</v>
      </c>
      <c r="J46" s="1">
        <v>33800000</v>
      </c>
      <c r="K46" s="1">
        <v>214000000</v>
      </c>
      <c r="L46" s="1">
        <v>0</v>
      </c>
      <c r="M46" s="1">
        <v>266000000</v>
      </c>
      <c r="N46" s="1">
        <v>656000000</v>
      </c>
    </row>
    <row r="47" spans="1:14" x14ac:dyDescent="0.2">
      <c r="A47" t="s">
        <v>59</v>
      </c>
      <c r="B47" s="1">
        <v>23600000</v>
      </c>
      <c r="C47" s="1">
        <v>0</v>
      </c>
      <c r="D47" s="1">
        <v>0</v>
      </c>
      <c r="E47" s="1">
        <v>4530000</v>
      </c>
      <c r="F47" s="1">
        <v>52000000</v>
      </c>
      <c r="G47" s="1">
        <v>6220000</v>
      </c>
      <c r="H47" s="1">
        <v>0</v>
      </c>
      <c r="I47" s="1">
        <v>0</v>
      </c>
      <c r="J47" s="1">
        <v>25800000</v>
      </c>
      <c r="K47" s="1">
        <v>133000000</v>
      </c>
      <c r="L47" s="1">
        <v>0</v>
      </c>
      <c r="M47" s="1">
        <v>163000000</v>
      </c>
      <c r="N47" s="1">
        <v>408000000</v>
      </c>
    </row>
    <row r="48" spans="1:14" x14ac:dyDescent="0.2">
      <c r="A48" t="s">
        <v>60</v>
      </c>
      <c r="B48" s="1">
        <v>52300000</v>
      </c>
      <c r="C48" s="1">
        <v>0</v>
      </c>
      <c r="D48" s="1">
        <v>0</v>
      </c>
      <c r="E48" s="1">
        <v>10300000</v>
      </c>
      <c r="F48" s="1">
        <v>124000000</v>
      </c>
      <c r="G48" s="1">
        <v>16200000</v>
      </c>
      <c r="H48" s="1">
        <v>69700</v>
      </c>
      <c r="I48" s="1">
        <v>0</v>
      </c>
      <c r="J48" s="1">
        <v>52500000</v>
      </c>
      <c r="K48" s="1">
        <v>247000000</v>
      </c>
      <c r="L48" s="1">
        <v>0</v>
      </c>
      <c r="M48" s="1">
        <v>378000000</v>
      </c>
      <c r="N48" s="1">
        <v>881000000</v>
      </c>
    </row>
    <row r="49" spans="1:14" x14ac:dyDescent="0.2">
      <c r="A49" t="s">
        <v>61</v>
      </c>
      <c r="B49" s="1">
        <v>89000000</v>
      </c>
      <c r="C49" s="1">
        <v>0</v>
      </c>
      <c r="D49" s="1">
        <v>0</v>
      </c>
      <c r="E49" s="1">
        <v>0</v>
      </c>
      <c r="F49" s="1">
        <v>104000000</v>
      </c>
      <c r="G49" s="1">
        <v>26800000</v>
      </c>
      <c r="H49" s="1">
        <v>269000</v>
      </c>
      <c r="I49" s="1">
        <v>0</v>
      </c>
      <c r="J49" s="1">
        <v>53500000</v>
      </c>
      <c r="K49" s="1">
        <v>286000000</v>
      </c>
      <c r="L49" s="1">
        <v>0</v>
      </c>
      <c r="M49" s="1">
        <v>436000000</v>
      </c>
      <c r="N49" s="1">
        <v>995000000</v>
      </c>
    </row>
    <row r="50" spans="1:14" x14ac:dyDescent="0.2">
      <c r="A50" t="s">
        <v>62</v>
      </c>
      <c r="B50" s="1">
        <v>58800000</v>
      </c>
      <c r="C50" s="1">
        <v>0</v>
      </c>
      <c r="D50" s="1">
        <v>0</v>
      </c>
      <c r="E50" s="1">
        <v>0</v>
      </c>
      <c r="F50" s="1">
        <v>87000000</v>
      </c>
      <c r="G50" s="1">
        <v>24000000</v>
      </c>
      <c r="H50" s="1">
        <v>223000</v>
      </c>
      <c r="I50" s="1">
        <v>0</v>
      </c>
      <c r="J50" s="1">
        <v>58300000</v>
      </c>
      <c r="K50" s="1">
        <v>304000000</v>
      </c>
      <c r="L50" s="1">
        <v>0</v>
      </c>
      <c r="M50" s="1">
        <v>474000000</v>
      </c>
      <c r="N50" s="1">
        <v>1010000000</v>
      </c>
    </row>
    <row r="51" spans="1:14" x14ac:dyDescent="0.2">
      <c r="A51" t="s">
        <v>63</v>
      </c>
      <c r="B51" s="1">
        <v>123000000</v>
      </c>
      <c r="C51" s="1">
        <v>0</v>
      </c>
      <c r="D51" s="1">
        <v>0</v>
      </c>
      <c r="E51" s="1">
        <v>0</v>
      </c>
      <c r="F51" s="1">
        <v>55500000</v>
      </c>
      <c r="G51" s="1">
        <v>17100000</v>
      </c>
      <c r="H51" s="1">
        <v>129000</v>
      </c>
      <c r="I51" s="1">
        <v>0</v>
      </c>
      <c r="J51" s="1">
        <v>41500000</v>
      </c>
      <c r="K51" s="1">
        <v>268000000</v>
      </c>
      <c r="L51" s="1">
        <v>0</v>
      </c>
      <c r="M51" s="1">
        <v>248000000</v>
      </c>
      <c r="N51" s="1">
        <v>753000000</v>
      </c>
    </row>
    <row r="52" spans="1:14" x14ac:dyDescent="0.2">
      <c r="A52" t="s">
        <v>64</v>
      </c>
      <c r="B52" s="1">
        <v>62800000</v>
      </c>
      <c r="C52" s="1">
        <v>0</v>
      </c>
      <c r="D52" s="1">
        <v>0</v>
      </c>
      <c r="E52" s="1">
        <v>16100000</v>
      </c>
      <c r="F52" s="1">
        <v>0</v>
      </c>
      <c r="G52" s="1">
        <v>22000000</v>
      </c>
      <c r="H52" s="1">
        <v>305000</v>
      </c>
      <c r="I52" s="1">
        <v>41200000</v>
      </c>
      <c r="J52" s="1">
        <v>72500000</v>
      </c>
      <c r="K52" s="1">
        <v>453000000</v>
      </c>
      <c r="L52" s="1">
        <v>0</v>
      </c>
      <c r="M52" s="1">
        <v>350000000</v>
      </c>
      <c r="N52" s="1">
        <v>1020000000</v>
      </c>
    </row>
    <row r="53" spans="1:14" x14ac:dyDescent="0.2">
      <c r="A53" t="s">
        <v>65</v>
      </c>
      <c r="B53" s="1">
        <v>50800000</v>
      </c>
      <c r="C53" s="1">
        <v>0</v>
      </c>
      <c r="D53" s="1">
        <v>0</v>
      </c>
      <c r="E53" s="1">
        <v>25800000</v>
      </c>
      <c r="F53" s="1">
        <v>0</v>
      </c>
      <c r="G53" s="1">
        <v>14800000</v>
      </c>
      <c r="H53" s="1">
        <v>198000</v>
      </c>
      <c r="I53" s="1">
        <v>80700000</v>
      </c>
      <c r="J53" s="1">
        <v>45300000</v>
      </c>
      <c r="K53" s="1">
        <v>274000000</v>
      </c>
      <c r="L53" s="1">
        <v>0</v>
      </c>
      <c r="M53" s="1">
        <v>284000000</v>
      </c>
      <c r="N53" s="1">
        <v>775000000</v>
      </c>
    </row>
    <row r="54" spans="1:14" x14ac:dyDescent="0.2">
      <c r="A54" t="s">
        <v>66</v>
      </c>
      <c r="B54" s="1">
        <v>23900000</v>
      </c>
      <c r="C54" s="1">
        <v>0</v>
      </c>
      <c r="D54" s="1">
        <v>0</v>
      </c>
      <c r="E54" s="1">
        <v>6030000</v>
      </c>
      <c r="F54" s="1">
        <v>0</v>
      </c>
      <c r="G54" s="1">
        <v>12400000</v>
      </c>
      <c r="H54" s="1">
        <v>52700</v>
      </c>
      <c r="I54" s="1">
        <v>1540000</v>
      </c>
      <c r="J54" s="1">
        <v>31800000</v>
      </c>
      <c r="K54" s="1">
        <v>309000000</v>
      </c>
      <c r="L54" s="1">
        <v>0</v>
      </c>
      <c r="M54" s="1">
        <v>108000000</v>
      </c>
      <c r="N54" s="1">
        <v>492000000</v>
      </c>
    </row>
    <row r="55" spans="1:14" x14ac:dyDescent="0.2">
      <c r="A55" t="s">
        <v>67</v>
      </c>
      <c r="B55" s="1">
        <v>92300000</v>
      </c>
      <c r="C55" s="1">
        <v>0</v>
      </c>
      <c r="D55" s="1">
        <v>0</v>
      </c>
      <c r="E55" s="1">
        <v>61300</v>
      </c>
      <c r="F55" s="1">
        <v>545000000</v>
      </c>
      <c r="G55" s="1">
        <v>0</v>
      </c>
      <c r="H55" s="1">
        <v>79300</v>
      </c>
      <c r="I55" s="1">
        <v>4830000</v>
      </c>
      <c r="J55" s="1">
        <v>68800000</v>
      </c>
      <c r="K55" s="1">
        <v>322000000</v>
      </c>
      <c r="L55" s="1">
        <v>0</v>
      </c>
      <c r="M55" s="1">
        <v>678000000</v>
      </c>
      <c r="N55" s="1">
        <v>1710000000</v>
      </c>
    </row>
    <row r="56" spans="1:14" x14ac:dyDescent="0.2">
      <c r="A56" t="s">
        <v>68</v>
      </c>
      <c r="B56" s="1">
        <v>54800000</v>
      </c>
      <c r="C56" s="1">
        <v>0</v>
      </c>
      <c r="D56" s="1">
        <v>0</v>
      </c>
      <c r="E56" s="1">
        <v>148000</v>
      </c>
      <c r="F56" s="1">
        <v>605000000</v>
      </c>
      <c r="G56" s="1">
        <v>0</v>
      </c>
      <c r="H56" s="1">
        <v>50000</v>
      </c>
      <c r="I56" s="1">
        <v>365000</v>
      </c>
      <c r="J56" s="1">
        <v>66300000</v>
      </c>
      <c r="K56" s="1">
        <v>367000000</v>
      </c>
      <c r="L56" s="1">
        <v>0</v>
      </c>
      <c r="M56" s="1">
        <v>570000000</v>
      </c>
      <c r="N56" s="1">
        <v>1660000000</v>
      </c>
    </row>
    <row r="57" spans="1:14" x14ac:dyDescent="0.2">
      <c r="A57" t="s">
        <v>69</v>
      </c>
      <c r="B57" s="1">
        <v>90300000</v>
      </c>
      <c r="C57" s="1">
        <v>0</v>
      </c>
      <c r="D57" s="1">
        <v>0</v>
      </c>
      <c r="E57" s="1">
        <v>658000</v>
      </c>
      <c r="F57" s="1">
        <v>540000000</v>
      </c>
      <c r="G57" s="1">
        <v>9160000</v>
      </c>
      <c r="H57" s="1">
        <v>0</v>
      </c>
      <c r="I57" s="1">
        <v>10700000</v>
      </c>
      <c r="J57" s="1">
        <v>59000000</v>
      </c>
      <c r="K57" s="1">
        <v>520000000</v>
      </c>
      <c r="L57" s="1">
        <v>0</v>
      </c>
      <c r="M57" s="1">
        <v>422000000</v>
      </c>
      <c r="N57" s="1">
        <v>1650000000</v>
      </c>
    </row>
    <row r="58" spans="1:14" x14ac:dyDescent="0.2">
      <c r="A58" t="s">
        <v>70</v>
      </c>
      <c r="B58" s="1">
        <v>115000000</v>
      </c>
      <c r="C58" s="1">
        <v>0</v>
      </c>
      <c r="D58" s="1">
        <v>0</v>
      </c>
      <c r="E58" s="1">
        <v>590000</v>
      </c>
      <c r="F58" s="1">
        <v>285000000</v>
      </c>
      <c r="G58" s="1">
        <v>6280000</v>
      </c>
      <c r="H58" s="1">
        <v>0</v>
      </c>
      <c r="I58" s="1">
        <v>0</v>
      </c>
      <c r="J58" s="1">
        <v>34000000</v>
      </c>
      <c r="K58" s="1">
        <v>373000000</v>
      </c>
      <c r="L58" s="1">
        <v>0</v>
      </c>
      <c r="M58" s="1">
        <v>252000000</v>
      </c>
      <c r="N58" s="1">
        <v>1070000000</v>
      </c>
    </row>
    <row r="59" spans="1:14" x14ac:dyDescent="0.2">
      <c r="A59" t="s">
        <v>71</v>
      </c>
      <c r="B59" s="1">
        <v>116000000</v>
      </c>
      <c r="C59" s="1">
        <v>0</v>
      </c>
      <c r="D59" s="1">
        <v>0</v>
      </c>
      <c r="E59" s="1">
        <v>1010000</v>
      </c>
      <c r="F59" s="1">
        <v>188000000</v>
      </c>
      <c r="G59" s="1">
        <v>6200000</v>
      </c>
      <c r="H59" s="1">
        <v>0</v>
      </c>
      <c r="I59" s="1">
        <v>109000</v>
      </c>
      <c r="J59" s="1">
        <v>38500000</v>
      </c>
      <c r="K59" s="1">
        <v>390000000</v>
      </c>
      <c r="L59" s="1">
        <v>0</v>
      </c>
      <c r="M59" s="1">
        <v>161000000</v>
      </c>
      <c r="N59" s="1">
        <v>900000000</v>
      </c>
    </row>
    <row r="60" spans="1:14" x14ac:dyDescent="0.2">
      <c r="A60" t="s">
        <v>72</v>
      </c>
      <c r="B60" s="1">
        <v>488000000</v>
      </c>
      <c r="C60" s="1">
        <v>0</v>
      </c>
      <c r="D60" s="1">
        <v>0</v>
      </c>
      <c r="E60" s="1">
        <v>1150000</v>
      </c>
      <c r="F60" s="1">
        <v>463000000</v>
      </c>
      <c r="G60" s="1">
        <v>12800000</v>
      </c>
      <c r="H60" s="1">
        <v>70300</v>
      </c>
      <c r="I60" s="1">
        <v>0</v>
      </c>
      <c r="J60" s="1">
        <v>100000000</v>
      </c>
      <c r="K60" s="1">
        <v>743000000</v>
      </c>
      <c r="L60" s="1">
        <v>0</v>
      </c>
      <c r="M60" s="1">
        <v>696000000</v>
      </c>
      <c r="N60" s="1">
        <v>2500000000</v>
      </c>
    </row>
    <row r="61" spans="1:14" x14ac:dyDescent="0.2">
      <c r="A61" t="s">
        <v>73</v>
      </c>
      <c r="B61" s="1">
        <v>278000000</v>
      </c>
      <c r="C61" s="1">
        <v>0</v>
      </c>
      <c r="D61" s="1">
        <v>0</v>
      </c>
      <c r="E61" s="1">
        <v>658000</v>
      </c>
      <c r="F61" s="1">
        <v>265000000</v>
      </c>
      <c r="G61" s="1">
        <v>7340000</v>
      </c>
      <c r="H61" s="1">
        <v>40300</v>
      </c>
      <c r="I61" s="1">
        <v>0</v>
      </c>
      <c r="J61" s="1">
        <v>57500000</v>
      </c>
      <c r="K61" s="1">
        <v>423000000</v>
      </c>
      <c r="L61" s="1">
        <v>0</v>
      </c>
      <c r="M61" s="1">
        <v>398000000</v>
      </c>
      <c r="N61" s="1">
        <v>1430000000</v>
      </c>
    </row>
    <row r="62" spans="1:14" x14ac:dyDescent="0.2">
      <c r="A62" t="s">
        <v>74</v>
      </c>
      <c r="B62" s="1">
        <v>145000000</v>
      </c>
      <c r="C62" s="1">
        <v>0</v>
      </c>
      <c r="D62" s="1">
        <v>0</v>
      </c>
      <c r="E62" s="1">
        <v>1280000</v>
      </c>
      <c r="F62" s="1">
        <v>68000000</v>
      </c>
      <c r="G62" s="1">
        <v>7360000</v>
      </c>
      <c r="H62" s="1">
        <v>29700</v>
      </c>
      <c r="I62" s="1">
        <v>0</v>
      </c>
      <c r="J62" s="1">
        <v>43300000</v>
      </c>
      <c r="K62" s="1">
        <v>390000000</v>
      </c>
      <c r="L62" s="1">
        <v>0</v>
      </c>
      <c r="M62" s="1">
        <v>195000000</v>
      </c>
      <c r="N62" s="1">
        <v>850000000</v>
      </c>
    </row>
    <row r="63" spans="1:14" x14ac:dyDescent="0.2">
      <c r="A63" t="s">
        <v>75</v>
      </c>
      <c r="B63" s="1">
        <v>188000000</v>
      </c>
      <c r="C63" s="1">
        <v>0</v>
      </c>
      <c r="D63" s="1">
        <v>0</v>
      </c>
      <c r="E63" s="1">
        <v>1130000</v>
      </c>
      <c r="F63" s="1">
        <v>770000000</v>
      </c>
      <c r="G63" s="1">
        <v>12500000</v>
      </c>
      <c r="H63" s="1">
        <v>195000</v>
      </c>
      <c r="I63" s="1">
        <v>3080000</v>
      </c>
      <c r="J63" s="1">
        <v>0</v>
      </c>
      <c r="K63" s="1">
        <v>357000000</v>
      </c>
      <c r="L63" s="1">
        <v>0</v>
      </c>
      <c r="M63" s="1">
        <v>1090000000</v>
      </c>
      <c r="N63" s="1">
        <v>2430000000</v>
      </c>
    </row>
    <row r="64" spans="1:14" x14ac:dyDescent="0.2">
      <c r="A64" t="s">
        <v>76</v>
      </c>
      <c r="B64" s="1">
        <v>338000000</v>
      </c>
      <c r="C64" s="1">
        <v>0</v>
      </c>
      <c r="D64" s="1">
        <v>0</v>
      </c>
      <c r="E64" s="1">
        <v>4050000</v>
      </c>
      <c r="F64" s="1">
        <v>494000000</v>
      </c>
      <c r="G64" s="1">
        <v>15600000</v>
      </c>
      <c r="H64" s="1">
        <v>222000</v>
      </c>
      <c r="I64" s="1">
        <v>11600000</v>
      </c>
      <c r="J64" s="1">
        <v>0</v>
      </c>
      <c r="K64" s="1">
        <v>363000000</v>
      </c>
      <c r="L64" s="1">
        <v>0</v>
      </c>
      <c r="M64" s="1">
        <v>1620000000</v>
      </c>
      <c r="N64" s="1">
        <v>2850000000</v>
      </c>
    </row>
    <row r="65" spans="1:14" x14ac:dyDescent="0.2">
      <c r="A65" t="s">
        <v>77</v>
      </c>
      <c r="B65" s="1">
        <v>260000000</v>
      </c>
      <c r="C65" s="1">
        <v>0</v>
      </c>
      <c r="D65" s="1">
        <v>0</v>
      </c>
      <c r="E65" s="1">
        <v>2750000</v>
      </c>
      <c r="F65" s="1">
        <v>202000000</v>
      </c>
      <c r="G65" s="1">
        <v>11400000</v>
      </c>
      <c r="H65" s="1">
        <v>154000</v>
      </c>
      <c r="I65" s="1">
        <v>0</v>
      </c>
      <c r="J65" s="1">
        <v>0</v>
      </c>
      <c r="K65" s="1">
        <v>273000000</v>
      </c>
      <c r="L65" s="1">
        <v>0</v>
      </c>
      <c r="M65" s="1">
        <v>1500000000</v>
      </c>
      <c r="N65" s="1">
        <v>2250000000</v>
      </c>
    </row>
    <row r="66" spans="1:14" x14ac:dyDescent="0.2">
      <c r="A66" t="s">
        <v>78</v>
      </c>
      <c r="B66" s="1">
        <v>230000000</v>
      </c>
      <c r="C66" s="1">
        <v>0</v>
      </c>
      <c r="D66" s="1">
        <v>0</v>
      </c>
      <c r="E66" s="1">
        <v>5730000</v>
      </c>
      <c r="F66" s="1">
        <v>400000000</v>
      </c>
      <c r="G66" s="1">
        <v>8820000</v>
      </c>
      <c r="H66" s="1">
        <v>256000</v>
      </c>
      <c r="I66" s="1">
        <v>1180000</v>
      </c>
      <c r="J66" s="1">
        <v>68000000</v>
      </c>
      <c r="K66" s="1">
        <v>0</v>
      </c>
      <c r="L66" s="1">
        <v>0</v>
      </c>
      <c r="M66" s="1">
        <v>1520000000</v>
      </c>
      <c r="N66" s="1">
        <v>2240000000</v>
      </c>
    </row>
    <row r="67" spans="1:14" x14ac:dyDescent="0.2">
      <c r="A67" t="s">
        <v>79</v>
      </c>
      <c r="B67" s="1">
        <v>488000000</v>
      </c>
      <c r="C67" s="1">
        <v>0</v>
      </c>
      <c r="D67" s="1">
        <v>0</v>
      </c>
      <c r="E67" s="1">
        <v>4430000</v>
      </c>
      <c r="F67" s="1">
        <v>342000000</v>
      </c>
      <c r="G67" s="1">
        <v>12000000</v>
      </c>
      <c r="H67" s="1">
        <v>203000</v>
      </c>
      <c r="I67" s="1">
        <v>27700000</v>
      </c>
      <c r="J67" s="1">
        <v>75800000</v>
      </c>
      <c r="K67" s="1">
        <v>0</v>
      </c>
      <c r="L67" s="1">
        <v>0</v>
      </c>
      <c r="M67" s="1">
        <v>1460000000</v>
      </c>
      <c r="N67" s="1">
        <v>2410000000</v>
      </c>
    </row>
    <row r="68" spans="1:14" x14ac:dyDescent="0.2">
      <c r="A68" t="s">
        <v>80</v>
      </c>
      <c r="B68" s="1">
        <v>214000000</v>
      </c>
      <c r="C68" s="1">
        <v>0</v>
      </c>
      <c r="D68" s="1">
        <v>0</v>
      </c>
      <c r="E68" s="1">
        <v>2050000</v>
      </c>
      <c r="F68" s="1">
        <v>695000000</v>
      </c>
      <c r="G68" s="1">
        <v>10200000</v>
      </c>
      <c r="H68" s="1">
        <v>141000</v>
      </c>
      <c r="I68" s="1">
        <v>920000</v>
      </c>
      <c r="J68" s="1">
        <v>77800000</v>
      </c>
      <c r="K68" s="1">
        <v>347000000</v>
      </c>
      <c r="L68" s="1">
        <v>0</v>
      </c>
      <c r="M68" s="1">
        <v>1750000000</v>
      </c>
      <c r="N68" s="1">
        <v>3100000000</v>
      </c>
    </row>
    <row r="69" spans="1:14" x14ac:dyDescent="0.2">
      <c r="A69" t="s">
        <v>81</v>
      </c>
      <c r="B69" s="1">
        <v>227000000</v>
      </c>
      <c r="C69" s="1">
        <v>0</v>
      </c>
      <c r="D69" s="1">
        <v>0</v>
      </c>
      <c r="E69" s="1">
        <v>5100000</v>
      </c>
      <c r="F69" s="1">
        <v>478000000</v>
      </c>
      <c r="G69" s="1">
        <v>11600000</v>
      </c>
      <c r="H69" s="1">
        <v>126000</v>
      </c>
      <c r="I69" s="1">
        <v>3350000</v>
      </c>
      <c r="J69" s="1">
        <v>82500000</v>
      </c>
      <c r="K69" s="1">
        <v>387000000</v>
      </c>
      <c r="L69" s="1">
        <v>0</v>
      </c>
      <c r="M69" s="1">
        <v>1580000000</v>
      </c>
      <c r="N69" s="1">
        <v>2780000000</v>
      </c>
    </row>
    <row r="70" spans="1:14" x14ac:dyDescent="0.2">
      <c r="A70" t="s">
        <v>82</v>
      </c>
      <c r="B70" s="1">
        <v>211000000</v>
      </c>
      <c r="C70" s="1">
        <v>0</v>
      </c>
      <c r="D70" s="1">
        <v>0</v>
      </c>
      <c r="E70" s="1">
        <v>5930000</v>
      </c>
      <c r="F70" s="1">
        <v>181000000</v>
      </c>
      <c r="G70" s="1">
        <v>17500000</v>
      </c>
      <c r="H70" s="1">
        <v>155000</v>
      </c>
      <c r="I70" s="1">
        <v>0</v>
      </c>
      <c r="J70" s="1">
        <v>107000000</v>
      </c>
      <c r="K70" s="1">
        <v>573000000</v>
      </c>
      <c r="L70" s="1">
        <v>0</v>
      </c>
      <c r="M70" s="1">
        <v>1640000000</v>
      </c>
      <c r="N70" s="1">
        <v>2740000000</v>
      </c>
    </row>
    <row r="71" spans="1:14" x14ac:dyDescent="0.2">
      <c r="A71" t="s">
        <v>83</v>
      </c>
      <c r="B71" s="1">
        <v>338000000</v>
      </c>
      <c r="C71" s="1">
        <v>0</v>
      </c>
      <c r="D71" s="1">
        <v>0</v>
      </c>
      <c r="E71" s="1">
        <v>19600</v>
      </c>
      <c r="F71" s="1">
        <v>151000000</v>
      </c>
      <c r="G71" s="1">
        <v>21400000</v>
      </c>
      <c r="H71" s="1">
        <v>1770000</v>
      </c>
      <c r="I71" s="1">
        <v>59000000</v>
      </c>
      <c r="J71" s="1">
        <v>55500000</v>
      </c>
      <c r="K71" s="1">
        <v>357000000</v>
      </c>
      <c r="L71" s="1">
        <v>0</v>
      </c>
      <c r="M71" s="1">
        <v>0</v>
      </c>
      <c r="N71" s="1">
        <v>982000000</v>
      </c>
    </row>
    <row r="72" spans="1:14" x14ac:dyDescent="0.2">
      <c r="A72" t="s">
        <v>84</v>
      </c>
      <c r="B72" s="1">
        <v>323000000</v>
      </c>
      <c r="C72" s="1">
        <v>0</v>
      </c>
      <c r="D72" s="1">
        <v>0</v>
      </c>
      <c r="E72" s="1">
        <v>0</v>
      </c>
      <c r="F72" s="1">
        <v>377000000</v>
      </c>
      <c r="G72" s="1">
        <v>16300000</v>
      </c>
      <c r="H72" s="1">
        <v>537000</v>
      </c>
      <c r="I72" s="1">
        <v>9620000</v>
      </c>
      <c r="J72" s="1">
        <v>44800000</v>
      </c>
      <c r="K72" s="1">
        <v>343000000</v>
      </c>
      <c r="L72" s="1">
        <v>0</v>
      </c>
      <c r="M72" s="1">
        <v>0</v>
      </c>
      <c r="N72" s="1">
        <v>1110000000</v>
      </c>
    </row>
    <row r="73" spans="1:14" x14ac:dyDescent="0.2">
      <c r="A73" t="s">
        <v>85</v>
      </c>
      <c r="B73" s="1">
        <v>45800000</v>
      </c>
      <c r="C73" s="1">
        <v>0</v>
      </c>
      <c r="D73" s="1">
        <v>0</v>
      </c>
      <c r="E73" s="1">
        <v>12300</v>
      </c>
      <c r="F73" s="1">
        <v>65000000</v>
      </c>
      <c r="G73" s="1">
        <v>5360000</v>
      </c>
      <c r="H73" s="1">
        <v>158000</v>
      </c>
      <c r="I73" s="1">
        <v>8720000</v>
      </c>
      <c r="J73" s="1">
        <v>10400000</v>
      </c>
      <c r="K73" s="1">
        <v>92700000</v>
      </c>
      <c r="L73" s="1">
        <v>0</v>
      </c>
      <c r="M73" s="1">
        <v>0</v>
      </c>
      <c r="N73" s="1">
        <v>228000000</v>
      </c>
    </row>
    <row r="74" spans="1:14" x14ac:dyDescent="0.2">
      <c r="A74" t="s">
        <v>86</v>
      </c>
      <c r="B74" s="1">
        <v>210000000</v>
      </c>
      <c r="C74" s="1">
        <v>0</v>
      </c>
      <c r="D74" s="1">
        <v>0</v>
      </c>
      <c r="E74" s="1">
        <v>2780000</v>
      </c>
      <c r="F74" s="1">
        <v>271000000</v>
      </c>
      <c r="G74" s="1">
        <v>7640000</v>
      </c>
      <c r="H74" s="1">
        <v>91700</v>
      </c>
      <c r="I74" s="1">
        <v>0</v>
      </c>
      <c r="J74" s="1">
        <v>63300000</v>
      </c>
      <c r="K74" s="1">
        <v>242000000</v>
      </c>
      <c r="L74" s="1">
        <v>0</v>
      </c>
      <c r="M74" s="1">
        <v>806000000</v>
      </c>
      <c r="N74" s="1">
        <v>1600000000</v>
      </c>
    </row>
    <row r="75" spans="1:14" x14ac:dyDescent="0.2">
      <c r="A75" t="s">
        <v>87</v>
      </c>
      <c r="B75" s="1">
        <v>488000000</v>
      </c>
      <c r="C75" s="1">
        <v>0</v>
      </c>
      <c r="D75" s="1">
        <v>0</v>
      </c>
      <c r="E75" s="1">
        <v>5050000</v>
      </c>
      <c r="F75" s="1">
        <v>197000000</v>
      </c>
      <c r="G75" s="1">
        <v>16200000</v>
      </c>
      <c r="H75" s="1">
        <v>106000</v>
      </c>
      <c r="I75" s="1">
        <v>0</v>
      </c>
      <c r="J75" s="1">
        <v>135000000</v>
      </c>
      <c r="K75" s="1">
        <v>457000000</v>
      </c>
      <c r="L75" s="1">
        <v>0</v>
      </c>
      <c r="M75" s="1">
        <v>2020000000</v>
      </c>
      <c r="N75" s="1">
        <v>3320000000</v>
      </c>
    </row>
    <row r="76" spans="1:14" x14ac:dyDescent="0.2">
      <c r="A76" t="s">
        <v>88</v>
      </c>
      <c r="B76" s="1">
        <v>420000000</v>
      </c>
      <c r="C76" s="1">
        <v>0</v>
      </c>
      <c r="D76" s="1">
        <v>0</v>
      </c>
      <c r="E76" s="1">
        <v>7350000</v>
      </c>
      <c r="F76" s="1">
        <v>64000000</v>
      </c>
      <c r="G76" s="1">
        <v>13900000</v>
      </c>
      <c r="H76" s="1">
        <v>85300</v>
      </c>
      <c r="I76" s="1">
        <v>0</v>
      </c>
      <c r="J76" s="1">
        <v>112000000</v>
      </c>
      <c r="K76" s="1">
        <v>360000000</v>
      </c>
      <c r="L76" s="1">
        <v>0</v>
      </c>
      <c r="M76" s="1">
        <v>1190000000</v>
      </c>
      <c r="N76" s="1">
        <v>2170000000</v>
      </c>
    </row>
    <row r="77" spans="1:14" x14ac:dyDescent="0.2">
      <c r="A77" t="s">
        <v>89</v>
      </c>
      <c r="B77" s="1">
        <v>0</v>
      </c>
      <c r="C77" s="1">
        <v>196000000</v>
      </c>
      <c r="D77" s="1">
        <v>0</v>
      </c>
      <c r="E77" s="1">
        <v>27300000</v>
      </c>
      <c r="F77" s="1">
        <v>830000000</v>
      </c>
      <c r="G77" s="1">
        <v>14800000</v>
      </c>
      <c r="H77" s="1">
        <v>907000</v>
      </c>
      <c r="I77" s="1">
        <v>0</v>
      </c>
      <c r="J77" s="1">
        <v>655000000</v>
      </c>
      <c r="K77" s="1">
        <v>1810000000</v>
      </c>
      <c r="L77" s="1">
        <v>0</v>
      </c>
      <c r="M77" s="1">
        <v>640000000</v>
      </c>
      <c r="N77" s="1">
        <v>4170000000</v>
      </c>
    </row>
    <row r="78" spans="1:14" x14ac:dyDescent="0.2">
      <c r="A78" t="s">
        <v>90</v>
      </c>
      <c r="B78" s="1">
        <v>0</v>
      </c>
      <c r="C78" s="1">
        <v>148000000</v>
      </c>
      <c r="D78" s="1">
        <v>0</v>
      </c>
      <c r="E78" s="1">
        <v>19400000</v>
      </c>
      <c r="F78" s="1">
        <v>850000000</v>
      </c>
      <c r="G78" s="1">
        <v>12900000</v>
      </c>
      <c r="H78" s="1">
        <v>593000</v>
      </c>
      <c r="I78" s="1">
        <v>0</v>
      </c>
      <c r="J78" s="1">
        <v>475000000</v>
      </c>
      <c r="K78" s="1">
        <v>1990000000</v>
      </c>
      <c r="L78" s="1">
        <v>0</v>
      </c>
      <c r="M78" s="1">
        <v>328000000</v>
      </c>
      <c r="N78" s="1">
        <v>3820000000</v>
      </c>
    </row>
    <row r="79" spans="1:14" x14ac:dyDescent="0.2">
      <c r="A79" t="s">
        <v>91</v>
      </c>
      <c r="B79" s="1">
        <v>0</v>
      </c>
      <c r="C79" s="1">
        <v>122000000</v>
      </c>
      <c r="D79" s="1">
        <v>0</v>
      </c>
      <c r="E79" s="1">
        <v>16900000</v>
      </c>
      <c r="F79" s="1">
        <v>655000000</v>
      </c>
      <c r="G79" s="1">
        <v>12500000</v>
      </c>
      <c r="H79" s="1">
        <v>264000</v>
      </c>
      <c r="I79" s="1">
        <v>0</v>
      </c>
      <c r="J79" s="1">
        <v>275000000</v>
      </c>
      <c r="K79" s="1">
        <v>1630000000</v>
      </c>
      <c r="L79" s="1">
        <v>0</v>
      </c>
      <c r="M79" s="1">
        <v>216000000</v>
      </c>
      <c r="N79" s="1">
        <v>2930000000</v>
      </c>
    </row>
    <row r="80" spans="1:14" x14ac:dyDescent="0.2">
      <c r="A80" t="s">
        <v>92</v>
      </c>
      <c r="B80" s="1">
        <v>162000000</v>
      </c>
      <c r="C80" s="1">
        <v>0</v>
      </c>
      <c r="D80" s="1">
        <v>0</v>
      </c>
      <c r="E80" s="1">
        <v>152000</v>
      </c>
      <c r="F80" s="1">
        <v>830000000</v>
      </c>
      <c r="G80" s="1">
        <v>23000000</v>
      </c>
      <c r="H80" s="1">
        <v>787000</v>
      </c>
      <c r="I80" s="1">
        <v>0</v>
      </c>
      <c r="J80" s="1">
        <v>129000000</v>
      </c>
      <c r="K80" s="1">
        <v>487000000</v>
      </c>
      <c r="L80" s="1">
        <v>0</v>
      </c>
      <c r="M80" s="1">
        <v>842000000</v>
      </c>
      <c r="N80" s="1">
        <v>2470000000</v>
      </c>
    </row>
    <row r="81" spans="1:14" x14ac:dyDescent="0.2">
      <c r="A81" t="s">
        <v>93</v>
      </c>
      <c r="B81" s="1">
        <v>44300000</v>
      </c>
      <c r="C81" s="1">
        <v>0</v>
      </c>
      <c r="D81" s="1">
        <v>0</v>
      </c>
      <c r="E81" s="1">
        <v>77800</v>
      </c>
      <c r="F81" s="1">
        <v>399000000</v>
      </c>
      <c r="G81" s="1">
        <v>13200000</v>
      </c>
      <c r="H81" s="1">
        <v>500000</v>
      </c>
      <c r="I81" s="1">
        <v>0</v>
      </c>
      <c r="J81" s="1">
        <v>39300000</v>
      </c>
      <c r="K81" s="1">
        <v>210000000</v>
      </c>
      <c r="L81" s="1">
        <v>0</v>
      </c>
      <c r="M81" s="1">
        <v>236000000</v>
      </c>
      <c r="N81" s="1">
        <v>943000000</v>
      </c>
    </row>
    <row r="82" spans="1:14" x14ac:dyDescent="0.2">
      <c r="A82" t="s">
        <v>94</v>
      </c>
      <c r="B82" s="1">
        <v>88000000</v>
      </c>
      <c r="C82" s="1">
        <v>0</v>
      </c>
      <c r="D82" s="1">
        <v>0</v>
      </c>
      <c r="E82" s="1">
        <v>618000</v>
      </c>
      <c r="F82" s="1">
        <v>352000000</v>
      </c>
      <c r="G82" s="1">
        <v>12900000</v>
      </c>
      <c r="H82" s="1">
        <v>291000</v>
      </c>
      <c r="I82" s="1">
        <v>0</v>
      </c>
      <c r="J82" s="1">
        <v>54800000</v>
      </c>
      <c r="K82" s="1">
        <v>252000000</v>
      </c>
      <c r="L82" s="1">
        <v>0</v>
      </c>
      <c r="M82" s="1">
        <v>350000000</v>
      </c>
      <c r="N82" s="1">
        <v>1110000000</v>
      </c>
    </row>
    <row r="83" spans="1:14" x14ac:dyDescent="0.2">
      <c r="A83" t="s">
        <v>95</v>
      </c>
      <c r="B83" s="1">
        <v>56300000</v>
      </c>
      <c r="C83" s="1">
        <v>0</v>
      </c>
      <c r="D83" s="1">
        <v>0</v>
      </c>
      <c r="E83" s="1">
        <v>177000</v>
      </c>
      <c r="F83" s="1">
        <v>318000000</v>
      </c>
      <c r="G83" s="1">
        <v>11300000</v>
      </c>
      <c r="H83" s="1">
        <v>367000</v>
      </c>
      <c r="I83" s="1">
        <v>0</v>
      </c>
      <c r="J83" s="1">
        <v>47800000</v>
      </c>
      <c r="K83" s="1">
        <v>191000000</v>
      </c>
      <c r="L83" s="1">
        <v>0</v>
      </c>
      <c r="M83" s="1">
        <v>370000000</v>
      </c>
      <c r="N83" s="1">
        <v>994000000</v>
      </c>
    </row>
    <row r="84" spans="1:14" x14ac:dyDescent="0.2">
      <c r="A84" t="s">
        <v>96</v>
      </c>
      <c r="B84" s="1">
        <v>57000000</v>
      </c>
      <c r="C84" s="1">
        <v>0</v>
      </c>
      <c r="D84" s="1">
        <v>0</v>
      </c>
      <c r="E84" s="1">
        <v>53800</v>
      </c>
      <c r="F84" s="1">
        <v>248000000</v>
      </c>
      <c r="G84" s="1">
        <v>9520000</v>
      </c>
      <c r="H84" s="1">
        <v>278000</v>
      </c>
      <c r="I84" s="1">
        <v>0</v>
      </c>
      <c r="J84" s="1">
        <v>37500000</v>
      </c>
      <c r="K84" s="1">
        <v>135000000</v>
      </c>
      <c r="L84" s="1">
        <v>0</v>
      </c>
      <c r="M84" s="1">
        <v>212000000</v>
      </c>
      <c r="N84" s="1">
        <v>699000000</v>
      </c>
    </row>
    <row r="85" spans="1:14" x14ac:dyDescent="0.2">
      <c r="A85" t="s">
        <v>97</v>
      </c>
      <c r="B85" s="1">
        <v>91300000</v>
      </c>
      <c r="C85" s="1">
        <v>0</v>
      </c>
      <c r="D85" s="1">
        <v>0</v>
      </c>
      <c r="E85" s="1">
        <v>1190000</v>
      </c>
      <c r="F85" s="1">
        <v>334000000</v>
      </c>
      <c r="G85" s="1">
        <v>12700000</v>
      </c>
      <c r="H85" s="1">
        <v>283000</v>
      </c>
      <c r="I85" s="1">
        <v>0</v>
      </c>
      <c r="J85" s="1">
        <v>44300000</v>
      </c>
      <c r="K85" s="1">
        <v>283000000</v>
      </c>
      <c r="L85" s="1">
        <v>0</v>
      </c>
      <c r="M85" s="1">
        <v>312000000</v>
      </c>
      <c r="N85" s="1">
        <v>1080000000</v>
      </c>
    </row>
    <row r="86" spans="1:14" x14ac:dyDescent="0.2">
      <c r="A86" t="s">
        <v>98</v>
      </c>
      <c r="B86" s="1">
        <v>58000000</v>
      </c>
      <c r="C86" s="1">
        <v>0</v>
      </c>
      <c r="D86" s="1">
        <v>0</v>
      </c>
      <c r="E86" s="1">
        <v>0</v>
      </c>
      <c r="F86" s="1">
        <v>243000000</v>
      </c>
      <c r="G86" s="1">
        <v>8240000</v>
      </c>
      <c r="H86" s="1">
        <v>383000</v>
      </c>
      <c r="I86" s="1">
        <v>0</v>
      </c>
      <c r="J86" s="1">
        <v>41300000</v>
      </c>
      <c r="K86" s="1">
        <v>132000000</v>
      </c>
      <c r="L86" s="1">
        <v>0</v>
      </c>
      <c r="M86" s="1">
        <v>216000000</v>
      </c>
      <c r="N86" s="1">
        <v>699000000</v>
      </c>
    </row>
    <row r="87" spans="1:14" x14ac:dyDescent="0.2">
      <c r="A87" t="s">
        <v>99</v>
      </c>
      <c r="B87" s="1">
        <v>120000000</v>
      </c>
      <c r="C87" s="1">
        <v>0</v>
      </c>
      <c r="D87" s="1">
        <v>0</v>
      </c>
      <c r="E87" s="1">
        <v>0</v>
      </c>
      <c r="F87" s="1">
        <v>321000000</v>
      </c>
      <c r="G87" s="1">
        <v>13600000</v>
      </c>
      <c r="H87" s="1">
        <v>933000</v>
      </c>
      <c r="I87" s="1">
        <v>0</v>
      </c>
      <c r="J87" s="1">
        <v>80500000</v>
      </c>
      <c r="K87" s="1">
        <v>219000000</v>
      </c>
      <c r="L87" s="1">
        <v>0</v>
      </c>
      <c r="M87" s="1">
        <v>416000000</v>
      </c>
      <c r="N87" s="1">
        <v>1170000000</v>
      </c>
    </row>
    <row r="88" spans="1:14" x14ac:dyDescent="0.2">
      <c r="A88" t="s">
        <v>100</v>
      </c>
      <c r="B88" s="1">
        <v>95500000</v>
      </c>
      <c r="C88" s="1">
        <v>0</v>
      </c>
      <c r="D88" s="1">
        <v>0</v>
      </c>
      <c r="E88" s="1">
        <v>0</v>
      </c>
      <c r="F88" s="1">
        <v>461000000</v>
      </c>
      <c r="G88" s="1">
        <v>11200000</v>
      </c>
      <c r="H88" s="1">
        <v>550000</v>
      </c>
      <c r="I88" s="1">
        <v>0</v>
      </c>
      <c r="J88" s="1">
        <v>66000000</v>
      </c>
      <c r="K88" s="1">
        <v>233000000</v>
      </c>
      <c r="L88" s="1">
        <v>0</v>
      </c>
      <c r="M88" s="1">
        <v>324000000</v>
      </c>
      <c r="N88" s="1">
        <v>1190000000</v>
      </c>
    </row>
    <row r="89" spans="1:14" x14ac:dyDescent="0.2">
      <c r="A89" t="s">
        <v>101</v>
      </c>
      <c r="B89" s="1">
        <v>209000000</v>
      </c>
      <c r="C89" s="1">
        <v>0</v>
      </c>
      <c r="D89" s="1">
        <v>0</v>
      </c>
      <c r="E89" s="1">
        <v>18600000</v>
      </c>
      <c r="F89" s="1">
        <v>0</v>
      </c>
      <c r="G89" s="1">
        <v>20000000</v>
      </c>
      <c r="H89" s="1">
        <v>643000</v>
      </c>
      <c r="I89" s="1">
        <v>0</v>
      </c>
      <c r="J89" s="1">
        <v>137000000</v>
      </c>
      <c r="K89" s="1">
        <v>319000000</v>
      </c>
      <c r="L89" s="1">
        <v>0</v>
      </c>
      <c r="M89" s="1">
        <v>606000000</v>
      </c>
      <c r="N89" s="1">
        <v>1310000000</v>
      </c>
    </row>
    <row r="90" spans="1:14" x14ac:dyDescent="0.2">
      <c r="A90" t="s">
        <v>102</v>
      </c>
      <c r="B90" s="1">
        <v>179000000</v>
      </c>
      <c r="C90" s="1">
        <v>0</v>
      </c>
      <c r="D90" s="1">
        <v>0</v>
      </c>
      <c r="E90" s="1">
        <v>22200000</v>
      </c>
      <c r="F90" s="1">
        <v>0</v>
      </c>
      <c r="G90" s="1">
        <v>17900000</v>
      </c>
      <c r="H90" s="1">
        <v>440000</v>
      </c>
      <c r="I90" s="1">
        <v>0</v>
      </c>
      <c r="J90" s="1">
        <v>95800000</v>
      </c>
      <c r="K90" s="1">
        <v>316000000</v>
      </c>
      <c r="L90" s="1">
        <v>0</v>
      </c>
      <c r="M90" s="1">
        <v>406000000</v>
      </c>
      <c r="N90" s="1">
        <v>1040000000</v>
      </c>
    </row>
    <row r="91" spans="1:14" x14ac:dyDescent="0.2">
      <c r="A91" t="s">
        <v>103</v>
      </c>
      <c r="B91" s="1">
        <v>148000000</v>
      </c>
      <c r="C91" s="1">
        <v>0</v>
      </c>
      <c r="D91" s="1">
        <v>0</v>
      </c>
      <c r="E91" s="1">
        <v>9900000</v>
      </c>
      <c r="F91" s="1">
        <v>0</v>
      </c>
      <c r="G91" s="1">
        <v>13200000</v>
      </c>
      <c r="H91" s="1">
        <v>407000</v>
      </c>
      <c r="I91" s="1">
        <v>0</v>
      </c>
      <c r="J91" s="1">
        <v>69500000</v>
      </c>
      <c r="K91" s="1">
        <v>261000000</v>
      </c>
      <c r="L91" s="1">
        <v>0</v>
      </c>
      <c r="M91" s="1">
        <v>344000000</v>
      </c>
      <c r="N91" s="1">
        <v>847000000</v>
      </c>
    </row>
    <row r="92" spans="1:14" x14ac:dyDescent="0.2">
      <c r="A92" t="s">
        <v>104</v>
      </c>
      <c r="B92" s="1">
        <v>115000000</v>
      </c>
      <c r="C92" s="1">
        <v>0</v>
      </c>
      <c r="D92" s="1">
        <v>0</v>
      </c>
      <c r="E92" s="1">
        <v>53300</v>
      </c>
      <c r="F92" s="1">
        <v>428000000</v>
      </c>
      <c r="G92" s="1">
        <v>0</v>
      </c>
      <c r="H92" s="1">
        <v>0</v>
      </c>
      <c r="I92" s="1">
        <v>0</v>
      </c>
      <c r="J92" s="1">
        <v>83000000</v>
      </c>
      <c r="K92" s="1">
        <v>194000000</v>
      </c>
      <c r="L92" s="1">
        <v>0</v>
      </c>
      <c r="M92" s="1">
        <v>426000000</v>
      </c>
      <c r="N92" s="1">
        <v>1250000000</v>
      </c>
    </row>
    <row r="93" spans="1:14" x14ac:dyDescent="0.2">
      <c r="A93" t="s">
        <v>105</v>
      </c>
      <c r="B93" s="1">
        <v>185000000</v>
      </c>
      <c r="C93" s="1">
        <v>0</v>
      </c>
      <c r="D93" s="1">
        <v>0</v>
      </c>
      <c r="E93" s="1">
        <v>188000</v>
      </c>
      <c r="F93" s="1">
        <v>387000000</v>
      </c>
      <c r="G93" s="1">
        <v>0</v>
      </c>
      <c r="H93" s="1">
        <v>0</v>
      </c>
      <c r="I93" s="1">
        <v>0</v>
      </c>
      <c r="J93" s="1">
        <v>113000000</v>
      </c>
      <c r="K93" s="1">
        <v>383000000</v>
      </c>
      <c r="L93" s="1">
        <v>0</v>
      </c>
      <c r="M93" s="1">
        <v>476000000</v>
      </c>
      <c r="N93" s="1">
        <v>1540000000</v>
      </c>
    </row>
    <row r="94" spans="1:14" x14ac:dyDescent="0.2">
      <c r="A94" t="s">
        <v>106</v>
      </c>
      <c r="B94" s="1">
        <v>142000000</v>
      </c>
      <c r="C94" s="1">
        <v>0</v>
      </c>
      <c r="D94" s="1">
        <v>0</v>
      </c>
      <c r="E94" s="1">
        <v>435000</v>
      </c>
      <c r="F94" s="1">
        <v>108000000</v>
      </c>
      <c r="G94" s="1">
        <v>0</v>
      </c>
      <c r="H94" s="1">
        <v>0</v>
      </c>
      <c r="I94" s="1">
        <v>0</v>
      </c>
      <c r="J94" s="1">
        <v>90300000</v>
      </c>
      <c r="K94" s="1">
        <v>274000000</v>
      </c>
      <c r="L94" s="1">
        <v>0</v>
      </c>
      <c r="M94" s="1">
        <v>344000000</v>
      </c>
      <c r="N94" s="1">
        <v>959000000</v>
      </c>
    </row>
    <row r="95" spans="1:14" x14ac:dyDescent="0.2">
      <c r="A95" t="s">
        <v>107</v>
      </c>
      <c r="B95" s="1">
        <v>136000000</v>
      </c>
      <c r="C95" s="1">
        <v>0</v>
      </c>
      <c r="D95" s="1">
        <v>0</v>
      </c>
      <c r="E95" s="1">
        <v>363000</v>
      </c>
      <c r="F95" s="1">
        <v>560000000</v>
      </c>
      <c r="G95" s="1">
        <v>14800000</v>
      </c>
      <c r="H95" s="1">
        <v>0</v>
      </c>
      <c r="I95" s="1">
        <v>0</v>
      </c>
      <c r="J95" s="1">
        <v>112000000</v>
      </c>
      <c r="K95" s="1">
        <v>373000000</v>
      </c>
      <c r="L95" s="1">
        <v>0</v>
      </c>
      <c r="M95" s="1">
        <v>580000000</v>
      </c>
      <c r="N95" s="1">
        <v>1780000000</v>
      </c>
    </row>
    <row r="96" spans="1:14" x14ac:dyDescent="0.2">
      <c r="A96" t="s">
        <v>108</v>
      </c>
      <c r="B96" s="1">
        <v>43500000</v>
      </c>
      <c r="C96" s="1">
        <v>0</v>
      </c>
      <c r="D96" s="1">
        <v>0</v>
      </c>
      <c r="E96" s="1">
        <v>280000</v>
      </c>
      <c r="F96" s="1">
        <v>197000000</v>
      </c>
      <c r="G96" s="1">
        <v>8800000</v>
      </c>
      <c r="H96" s="1">
        <v>0</v>
      </c>
      <c r="I96" s="1">
        <v>0</v>
      </c>
      <c r="J96" s="1">
        <v>40000000</v>
      </c>
      <c r="K96" s="1">
        <v>195000000</v>
      </c>
      <c r="L96" s="1">
        <v>0</v>
      </c>
      <c r="M96" s="1">
        <v>182000000</v>
      </c>
      <c r="N96" s="1">
        <v>667000000</v>
      </c>
    </row>
    <row r="97" spans="1:14" x14ac:dyDescent="0.2">
      <c r="A97" t="s">
        <v>109</v>
      </c>
      <c r="B97" s="1">
        <v>235000000</v>
      </c>
      <c r="C97" s="1">
        <v>0</v>
      </c>
      <c r="D97" s="1">
        <v>0</v>
      </c>
      <c r="E97" s="1">
        <v>6680000</v>
      </c>
      <c r="F97" s="1">
        <v>224000000</v>
      </c>
      <c r="G97" s="1">
        <v>16700000</v>
      </c>
      <c r="H97" s="1">
        <v>0</v>
      </c>
      <c r="I97" s="1">
        <v>0</v>
      </c>
      <c r="J97" s="1">
        <v>118000000</v>
      </c>
      <c r="K97" s="1">
        <v>312000000</v>
      </c>
      <c r="L97" s="1">
        <v>0</v>
      </c>
      <c r="M97" s="1">
        <v>592000000</v>
      </c>
      <c r="N97" s="1">
        <v>1500000000</v>
      </c>
    </row>
    <row r="98" spans="1:14" x14ac:dyDescent="0.2">
      <c r="A98" t="s">
        <v>110</v>
      </c>
      <c r="B98" s="1">
        <v>46800000</v>
      </c>
      <c r="C98" s="1">
        <v>0</v>
      </c>
      <c r="D98" s="1">
        <v>0</v>
      </c>
      <c r="E98" s="1">
        <v>578000</v>
      </c>
      <c r="F98" s="1">
        <v>174000000</v>
      </c>
      <c r="G98" s="1">
        <v>8260000</v>
      </c>
      <c r="H98" s="1">
        <v>610000</v>
      </c>
      <c r="I98" s="1">
        <v>0</v>
      </c>
      <c r="J98" s="1">
        <v>35300000</v>
      </c>
      <c r="K98" s="1">
        <v>151000000</v>
      </c>
      <c r="L98" s="1">
        <v>0</v>
      </c>
      <c r="M98" s="1">
        <v>143000000</v>
      </c>
      <c r="N98" s="1">
        <v>560000000</v>
      </c>
    </row>
    <row r="99" spans="1:14" x14ac:dyDescent="0.2">
      <c r="A99" t="s">
        <v>111</v>
      </c>
      <c r="B99" s="1">
        <v>458000000</v>
      </c>
      <c r="C99" s="1">
        <v>0</v>
      </c>
      <c r="D99" s="1">
        <v>0</v>
      </c>
      <c r="E99" s="1">
        <v>2850000</v>
      </c>
      <c r="F99" s="1">
        <v>1520000000</v>
      </c>
      <c r="G99" s="1">
        <v>42200000</v>
      </c>
      <c r="H99" s="1">
        <v>42700</v>
      </c>
      <c r="I99" s="1">
        <v>0</v>
      </c>
      <c r="J99" s="1">
        <v>298000000</v>
      </c>
      <c r="K99" s="1">
        <v>827000000</v>
      </c>
      <c r="L99" s="1">
        <v>0</v>
      </c>
      <c r="M99" s="1">
        <v>1710000000</v>
      </c>
      <c r="N99" s="1">
        <v>4860000000</v>
      </c>
    </row>
    <row r="100" spans="1:14" x14ac:dyDescent="0.2">
      <c r="A100" t="s">
        <v>112</v>
      </c>
      <c r="B100" s="1">
        <v>175000000</v>
      </c>
      <c r="C100" s="1">
        <v>0</v>
      </c>
      <c r="D100" s="1">
        <v>0</v>
      </c>
      <c r="E100" s="1">
        <v>8050000</v>
      </c>
      <c r="F100" s="1">
        <v>153000000</v>
      </c>
      <c r="G100" s="1">
        <v>16400000</v>
      </c>
      <c r="H100" s="1">
        <v>393000</v>
      </c>
      <c r="I100" s="1">
        <v>0</v>
      </c>
      <c r="J100" s="1">
        <v>124000000</v>
      </c>
      <c r="K100" s="1">
        <v>165000000</v>
      </c>
      <c r="L100" s="1">
        <v>0</v>
      </c>
      <c r="M100" s="1">
        <v>386000000</v>
      </c>
      <c r="N100" s="1">
        <v>1030000000</v>
      </c>
    </row>
    <row r="101" spans="1:14" x14ac:dyDescent="0.2">
      <c r="A101" t="s">
        <v>113</v>
      </c>
      <c r="B101" s="1">
        <v>231000000</v>
      </c>
      <c r="C101" s="1">
        <v>0</v>
      </c>
      <c r="D101" s="1">
        <v>0</v>
      </c>
      <c r="E101" s="1">
        <v>2250000</v>
      </c>
      <c r="F101" s="1">
        <v>482000000</v>
      </c>
      <c r="G101" s="1">
        <v>22400000</v>
      </c>
      <c r="H101" s="1">
        <v>1130000</v>
      </c>
      <c r="I101" s="1">
        <v>120000000</v>
      </c>
      <c r="J101" s="1">
        <v>0</v>
      </c>
      <c r="K101" s="1">
        <v>447000000</v>
      </c>
      <c r="L101" s="1">
        <v>0</v>
      </c>
      <c r="M101" s="1">
        <v>678000000</v>
      </c>
      <c r="N101" s="1">
        <v>1980000000</v>
      </c>
    </row>
    <row r="102" spans="1:14" x14ac:dyDescent="0.2">
      <c r="A102" t="s">
        <v>114</v>
      </c>
      <c r="B102" s="1">
        <v>328000000</v>
      </c>
      <c r="C102" s="1">
        <v>0</v>
      </c>
      <c r="D102" s="1">
        <v>0</v>
      </c>
      <c r="E102" s="1">
        <v>1060000</v>
      </c>
      <c r="F102" s="1">
        <v>358000000</v>
      </c>
      <c r="G102" s="1">
        <v>21000000</v>
      </c>
      <c r="H102" s="1">
        <v>637000</v>
      </c>
      <c r="I102" s="1">
        <v>0</v>
      </c>
      <c r="J102" s="1">
        <v>0</v>
      </c>
      <c r="K102" s="1">
        <v>477000000</v>
      </c>
      <c r="L102" s="1">
        <v>0</v>
      </c>
      <c r="M102" s="1">
        <v>1030000000</v>
      </c>
      <c r="N102" s="1">
        <v>2210000000</v>
      </c>
    </row>
    <row r="103" spans="1:14" x14ac:dyDescent="0.2">
      <c r="A103" t="s">
        <v>115</v>
      </c>
      <c r="B103" s="1">
        <v>26000000</v>
      </c>
      <c r="C103" s="1">
        <v>0</v>
      </c>
      <c r="D103" s="1">
        <v>0</v>
      </c>
      <c r="E103" s="1">
        <v>139000</v>
      </c>
      <c r="F103" s="1">
        <v>42600000</v>
      </c>
      <c r="G103" s="1">
        <v>3060000</v>
      </c>
      <c r="H103" s="1">
        <v>149000</v>
      </c>
      <c r="I103" s="1">
        <v>0</v>
      </c>
      <c r="J103" s="1">
        <v>0</v>
      </c>
      <c r="K103" s="1">
        <v>36700000</v>
      </c>
      <c r="L103" s="1">
        <v>0</v>
      </c>
      <c r="M103" s="1">
        <v>75800000</v>
      </c>
      <c r="N103" s="1">
        <v>184000000</v>
      </c>
    </row>
    <row r="104" spans="1:14" x14ac:dyDescent="0.2">
      <c r="A104" t="s">
        <v>116</v>
      </c>
      <c r="B104" s="1">
        <v>162000000</v>
      </c>
      <c r="C104" s="1">
        <v>0</v>
      </c>
      <c r="D104" s="1">
        <v>0</v>
      </c>
      <c r="E104" s="1">
        <v>5850000</v>
      </c>
      <c r="F104" s="1">
        <v>535000000</v>
      </c>
      <c r="G104" s="1">
        <v>13000000</v>
      </c>
      <c r="H104" s="1">
        <v>1040000</v>
      </c>
      <c r="I104" s="1">
        <v>18800000</v>
      </c>
      <c r="J104" s="1">
        <v>82000000</v>
      </c>
      <c r="K104" s="1">
        <v>0</v>
      </c>
      <c r="L104" s="1">
        <v>0</v>
      </c>
      <c r="M104" s="1">
        <v>558000000</v>
      </c>
      <c r="N104" s="1">
        <v>1380000000</v>
      </c>
    </row>
    <row r="105" spans="1:14" x14ac:dyDescent="0.2">
      <c r="A105" t="s">
        <v>117</v>
      </c>
      <c r="B105" s="1">
        <v>173000000</v>
      </c>
      <c r="C105" s="1">
        <v>0</v>
      </c>
      <c r="D105" s="1">
        <v>0</v>
      </c>
      <c r="E105" s="1">
        <v>2680000</v>
      </c>
      <c r="F105" s="1">
        <v>396000000</v>
      </c>
      <c r="G105" s="1">
        <v>12100000</v>
      </c>
      <c r="H105" s="1">
        <v>1180000</v>
      </c>
      <c r="I105" s="1">
        <v>0</v>
      </c>
      <c r="J105" s="1">
        <v>94300000</v>
      </c>
      <c r="K105" s="1">
        <v>0</v>
      </c>
      <c r="L105" s="1">
        <v>0</v>
      </c>
      <c r="M105" s="1">
        <v>578000000</v>
      </c>
      <c r="N105" s="1">
        <v>1260000000</v>
      </c>
    </row>
    <row r="106" spans="1:14" x14ac:dyDescent="0.2">
      <c r="A106" t="s">
        <v>118</v>
      </c>
      <c r="B106" s="1">
        <v>325000000</v>
      </c>
      <c r="C106" s="1">
        <v>0</v>
      </c>
      <c r="D106" s="1">
        <v>0</v>
      </c>
      <c r="E106" s="1">
        <v>8100000</v>
      </c>
      <c r="F106" s="1">
        <v>165000000</v>
      </c>
      <c r="G106" s="1">
        <v>14200000</v>
      </c>
      <c r="H106" s="1">
        <v>1950000</v>
      </c>
      <c r="I106" s="1">
        <v>0</v>
      </c>
      <c r="J106" s="1">
        <v>115000000</v>
      </c>
      <c r="K106" s="1">
        <v>0</v>
      </c>
      <c r="L106" s="1">
        <v>0</v>
      </c>
      <c r="M106" s="1">
        <v>660000000</v>
      </c>
      <c r="N106" s="1">
        <v>1290000000</v>
      </c>
    </row>
    <row r="107" spans="1:14" x14ac:dyDescent="0.2">
      <c r="A107" t="s">
        <v>119</v>
      </c>
      <c r="B107" s="1">
        <v>232000000</v>
      </c>
      <c r="C107" s="1">
        <v>0</v>
      </c>
      <c r="D107" s="1">
        <v>0</v>
      </c>
      <c r="E107" s="1">
        <v>131000</v>
      </c>
      <c r="F107" s="1">
        <v>381000000</v>
      </c>
      <c r="G107" s="1">
        <v>16300000</v>
      </c>
      <c r="H107" s="1">
        <v>397000</v>
      </c>
      <c r="I107" s="1">
        <v>0</v>
      </c>
      <c r="J107" s="1">
        <v>129000000</v>
      </c>
      <c r="K107" s="1">
        <v>313000000</v>
      </c>
      <c r="L107" s="1">
        <v>0</v>
      </c>
      <c r="M107" s="1">
        <v>806000000</v>
      </c>
      <c r="N107" s="1">
        <v>1880000000</v>
      </c>
    </row>
    <row r="108" spans="1:14" x14ac:dyDescent="0.2">
      <c r="A108" t="s">
        <v>120</v>
      </c>
      <c r="B108" s="1">
        <v>214000000</v>
      </c>
      <c r="C108" s="1">
        <v>0</v>
      </c>
      <c r="D108" s="1">
        <v>0</v>
      </c>
      <c r="E108" s="1">
        <v>184000</v>
      </c>
      <c r="F108" s="1">
        <v>459000000</v>
      </c>
      <c r="G108" s="1">
        <v>14800000</v>
      </c>
      <c r="H108" s="1">
        <v>332000</v>
      </c>
      <c r="I108" s="1">
        <v>858000</v>
      </c>
      <c r="J108" s="1">
        <v>124000000</v>
      </c>
      <c r="K108" s="1">
        <v>390000000</v>
      </c>
      <c r="L108" s="1">
        <v>0</v>
      </c>
      <c r="M108" s="1">
        <v>730000000</v>
      </c>
      <c r="N108" s="1">
        <v>1930000000</v>
      </c>
    </row>
    <row r="109" spans="1:14" x14ac:dyDescent="0.2">
      <c r="A109" t="s">
        <v>121</v>
      </c>
      <c r="B109" s="1">
        <v>168000000</v>
      </c>
      <c r="C109" s="1">
        <v>0</v>
      </c>
      <c r="D109" s="1">
        <v>0</v>
      </c>
      <c r="E109" s="1">
        <v>120000</v>
      </c>
      <c r="F109" s="1">
        <v>387000000</v>
      </c>
      <c r="G109" s="1">
        <v>12400000</v>
      </c>
      <c r="H109" s="1">
        <v>450000</v>
      </c>
      <c r="I109" s="1">
        <v>0</v>
      </c>
      <c r="J109" s="1">
        <v>79500000</v>
      </c>
      <c r="K109" s="1">
        <v>324000000</v>
      </c>
      <c r="L109" s="1">
        <v>0</v>
      </c>
      <c r="M109" s="1">
        <v>542000000</v>
      </c>
      <c r="N109" s="1">
        <v>1510000000</v>
      </c>
    </row>
    <row r="110" spans="1:14" x14ac:dyDescent="0.2">
      <c r="A110" t="s">
        <v>122</v>
      </c>
      <c r="B110" s="1">
        <v>112000000</v>
      </c>
      <c r="C110" s="1">
        <v>0</v>
      </c>
      <c r="D110" s="1">
        <v>0</v>
      </c>
      <c r="E110" s="1">
        <v>0</v>
      </c>
      <c r="F110" s="1">
        <v>185000000</v>
      </c>
      <c r="G110" s="1">
        <v>11900000</v>
      </c>
      <c r="H110" s="1">
        <v>390000</v>
      </c>
      <c r="I110" s="1">
        <v>0</v>
      </c>
      <c r="J110" s="1">
        <v>35000000</v>
      </c>
      <c r="K110" s="1">
        <v>186000000</v>
      </c>
      <c r="L110" s="1">
        <v>0</v>
      </c>
      <c r="M110" s="1">
        <v>0</v>
      </c>
      <c r="N110" s="1">
        <v>530000000</v>
      </c>
    </row>
    <row r="111" spans="1:14" x14ac:dyDescent="0.2">
      <c r="A111" t="s">
        <v>123</v>
      </c>
      <c r="B111" s="1">
        <v>75500000</v>
      </c>
      <c r="C111" s="1">
        <v>0</v>
      </c>
      <c r="D111" s="1">
        <v>0</v>
      </c>
      <c r="E111" s="1">
        <v>0</v>
      </c>
      <c r="F111" s="1">
        <v>130000000</v>
      </c>
      <c r="G111" s="1">
        <v>8860000</v>
      </c>
      <c r="H111" s="1">
        <v>267000</v>
      </c>
      <c r="I111" s="1">
        <v>0</v>
      </c>
      <c r="J111" s="1">
        <v>25800000</v>
      </c>
      <c r="K111" s="1">
        <v>133000000</v>
      </c>
      <c r="L111" s="1">
        <v>0</v>
      </c>
      <c r="M111" s="1">
        <v>0</v>
      </c>
      <c r="N111" s="1">
        <v>373000000</v>
      </c>
    </row>
    <row r="112" spans="1:14" x14ac:dyDescent="0.2">
      <c r="A112" t="s">
        <v>124</v>
      </c>
      <c r="B112" s="1">
        <v>115000000</v>
      </c>
      <c r="C112" s="1">
        <v>0</v>
      </c>
      <c r="D112" s="1">
        <v>0</v>
      </c>
      <c r="E112" s="1">
        <v>0</v>
      </c>
      <c r="F112" s="1">
        <v>196000000</v>
      </c>
      <c r="G112" s="1">
        <v>11400000</v>
      </c>
      <c r="H112" s="1">
        <v>273000</v>
      </c>
      <c r="I112" s="1">
        <v>0</v>
      </c>
      <c r="J112" s="1">
        <v>41500000</v>
      </c>
      <c r="K112" s="1">
        <v>162000000</v>
      </c>
      <c r="L112" s="1">
        <v>0</v>
      </c>
      <c r="M112" s="1">
        <v>0</v>
      </c>
      <c r="N112" s="1">
        <v>526000000</v>
      </c>
    </row>
    <row r="113" spans="1:14" x14ac:dyDescent="0.2">
      <c r="A113" t="s">
        <v>125</v>
      </c>
      <c r="B113" s="1">
        <v>55300000</v>
      </c>
      <c r="C113" s="1">
        <v>0</v>
      </c>
      <c r="D113" s="1">
        <v>0</v>
      </c>
      <c r="E113" s="1">
        <v>295000</v>
      </c>
      <c r="F113" s="1">
        <v>148000000</v>
      </c>
      <c r="G113" s="1">
        <v>6300000</v>
      </c>
      <c r="H113" s="1">
        <v>293000</v>
      </c>
      <c r="I113" s="1">
        <v>0</v>
      </c>
      <c r="J113" s="1">
        <v>23900000</v>
      </c>
      <c r="K113" s="1">
        <v>115000000</v>
      </c>
      <c r="L113" s="1">
        <v>0</v>
      </c>
      <c r="M113" s="1">
        <v>131000000</v>
      </c>
      <c r="N113" s="1">
        <v>480000000</v>
      </c>
    </row>
    <row r="114" spans="1:14" x14ac:dyDescent="0.2">
      <c r="A114" t="s">
        <v>126</v>
      </c>
      <c r="B114" s="1">
        <v>79000000</v>
      </c>
      <c r="C114" s="1">
        <v>0</v>
      </c>
      <c r="D114" s="1">
        <v>0</v>
      </c>
      <c r="E114" s="1">
        <v>733000</v>
      </c>
      <c r="F114" s="1">
        <v>211000000</v>
      </c>
      <c r="G114" s="1">
        <v>8780000</v>
      </c>
      <c r="H114" s="1">
        <v>443000</v>
      </c>
      <c r="I114" s="1">
        <v>0</v>
      </c>
      <c r="J114" s="1">
        <v>45000000</v>
      </c>
      <c r="K114" s="1">
        <v>152000000</v>
      </c>
      <c r="L114" s="1">
        <v>0</v>
      </c>
      <c r="M114" s="1">
        <v>274000000</v>
      </c>
      <c r="N114" s="1">
        <v>771000000</v>
      </c>
    </row>
    <row r="115" spans="1:14" x14ac:dyDescent="0.2">
      <c r="A115" t="s">
        <v>127</v>
      </c>
      <c r="B115" s="1">
        <v>15900000</v>
      </c>
      <c r="C115" s="1">
        <v>0</v>
      </c>
      <c r="D115" s="1">
        <v>0</v>
      </c>
      <c r="E115" s="1">
        <v>4230000</v>
      </c>
      <c r="F115" s="1">
        <v>125000000</v>
      </c>
      <c r="G115" s="1">
        <v>5440000</v>
      </c>
      <c r="H115" s="1">
        <v>238000</v>
      </c>
      <c r="I115" s="1">
        <v>0</v>
      </c>
      <c r="J115" s="1">
        <v>19600000</v>
      </c>
      <c r="K115" s="1">
        <v>79000000</v>
      </c>
      <c r="L115" s="1">
        <v>0</v>
      </c>
      <c r="M115" s="1">
        <v>93800000</v>
      </c>
      <c r="N115" s="1">
        <v>343000000</v>
      </c>
    </row>
    <row r="116" spans="1:14" x14ac:dyDescent="0.2">
      <c r="A116" t="s">
        <v>128</v>
      </c>
      <c r="B116" s="1">
        <v>0</v>
      </c>
      <c r="C116" s="1">
        <v>457000000</v>
      </c>
      <c r="D116" s="1">
        <v>0</v>
      </c>
      <c r="E116" s="1">
        <v>0</v>
      </c>
      <c r="F116" s="1">
        <v>595000000</v>
      </c>
      <c r="G116" s="1">
        <v>2400000</v>
      </c>
      <c r="H116" s="1">
        <v>5370000</v>
      </c>
      <c r="I116" s="1">
        <v>8500000</v>
      </c>
      <c r="J116" s="1">
        <v>122000000</v>
      </c>
      <c r="K116" s="1">
        <v>4400000000</v>
      </c>
      <c r="L116" s="1">
        <v>3220000</v>
      </c>
      <c r="M116" s="1">
        <v>460000000</v>
      </c>
      <c r="N116" s="1">
        <v>6050000000</v>
      </c>
    </row>
    <row r="117" spans="1:14" x14ac:dyDescent="0.2">
      <c r="A117" t="s">
        <v>129</v>
      </c>
      <c r="B117" s="1">
        <v>0</v>
      </c>
      <c r="C117" s="1">
        <v>72000000</v>
      </c>
      <c r="D117" s="1">
        <v>0</v>
      </c>
      <c r="E117" s="1">
        <v>0</v>
      </c>
      <c r="F117" s="1">
        <v>710000000</v>
      </c>
      <c r="G117" s="1">
        <v>1510000</v>
      </c>
      <c r="H117" s="1">
        <v>54300000</v>
      </c>
      <c r="I117" s="1">
        <v>0</v>
      </c>
      <c r="J117" s="1">
        <v>290000000</v>
      </c>
      <c r="K117" s="1">
        <v>7100000000</v>
      </c>
      <c r="L117" s="1">
        <v>485000</v>
      </c>
      <c r="M117" s="1">
        <v>1830000000</v>
      </c>
      <c r="N117" s="1">
        <v>10100000000</v>
      </c>
    </row>
    <row r="118" spans="1:14" x14ac:dyDescent="0.2">
      <c r="A118" t="s">
        <v>130</v>
      </c>
      <c r="B118" s="1">
        <v>58000000</v>
      </c>
      <c r="C118" s="1">
        <v>0</v>
      </c>
      <c r="D118" s="1">
        <v>0</v>
      </c>
      <c r="E118" s="1">
        <v>0</v>
      </c>
      <c r="F118" s="1">
        <v>725000000</v>
      </c>
      <c r="G118" s="1">
        <v>19500000</v>
      </c>
      <c r="H118" s="1">
        <v>20400000</v>
      </c>
      <c r="I118" s="1">
        <v>33300000</v>
      </c>
      <c r="J118" s="1">
        <v>31000000</v>
      </c>
      <c r="K118" s="1">
        <v>4870000000</v>
      </c>
      <c r="L118" s="1">
        <v>0</v>
      </c>
      <c r="M118" s="1">
        <v>682000000</v>
      </c>
      <c r="N118" s="1">
        <v>6440000000</v>
      </c>
    </row>
    <row r="119" spans="1:14" x14ac:dyDescent="0.2">
      <c r="A119" t="s">
        <v>131</v>
      </c>
      <c r="B119" s="1">
        <v>224000000</v>
      </c>
      <c r="C119" s="1">
        <v>0</v>
      </c>
      <c r="D119" s="1">
        <v>0</v>
      </c>
      <c r="E119" s="1">
        <v>0</v>
      </c>
      <c r="F119" s="1">
        <v>905000000</v>
      </c>
      <c r="G119" s="1">
        <v>22800000</v>
      </c>
      <c r="H119" s="1">
        <v>19500000</v>
      </c>
      <c r="I119" s="1">
        <v>7770000</v>
      </c>
      <c r="J119" s="1">
        <v>35000000</v>
      </c>
      <c r="K119" s="1">
        <v>6130000000</v>
      </c>
      <c r="L119" s="1">
        <v>0</v>
      </c>
      <c r="M119" s="1">
        <v>936000000</v>
      </c>
      <c r="N119" s="1">
        <v>8280000000</v>
      </c>
    </row>
    <row r="120" spans="1:14" x14ac:dyDescent="0.2">
      <c r="A120" t="s">
        <v>132</v>
      </c>
      <c r="B120" s="1">
        <v>86000000</v>
      </c>
      <c r="C120" s="1">
        <v>0</v>
      </c>
      <c r="D120" s="1">
        <v>0</v>
      </c>
      <c r="E120" s="1">
        <v>0</v>
      </c>
      <c r="F120" s="1">
        <v>499000000</v>
      </c>
      <c r="G120" s="1">
        <v>14000000</v>
      </c>
      <c r="H120" s="1">
        <v>16000000</v>
      </c>
      <c r="I120" s="1">
        <v>0</v>
      </c>
      <c r="J120" s="1">
        <v>23800000</v>
      </c>
      <c r="K120" s="1">
        <v>3470000000</v>
      </c>
      <c r="L120" s="1">
        <v>0</v>
      </c>
      <c r="M120" s="1">
        <v>798000000</v>
      </c>
      <c r="N120" s="1">
        <v>4900000000</v>
      </c>
    </row>
    <row r="121" spans="1:14" x14ac:dyDescent="0.2">
      <c r="A121" t="s">
        <v>133</v>
      </c>
      <c r="B121" s="1">
        <v>260000000</v>
      </c>
      <c r="C121" s="1">
        <v>129000</v>
      </c>
      <c r="D121" s="1">
        <v>0</v>
      </c>
      <c r="E121" s="1">
        <v>0</v>
      </c>
      <c r="F121" s="1">
        <v>685000000</v>
      </c>
      <c r="G121" s="1">
        <v>22600000</v>
      </c>
      <c r="H121" s="1">
        <v>33700000</v>
      </c>
      <c r="I121" s="1">
        <v>111000000</v>
      </c>
      <c r="J121" s="1">
        <v>19600000</v>
      </c>
      <c r="K121" s="1">
        <v>4630000000</v>
      </c>
      <c r="L121" s="1">
        <v>0</v>
      </c>
      <c r="M121" s="1">
        <v>866000000</v>
      </c>
      <c r="N121" s="1">
        <v>6630000000</v>
      </c>
    </row>
    <row r="122" spans="1:14" x14ac:dyDescent="0.2">
      <c r="A122" t="s">
        <v>134</v>
      </c>
      <c r="B122" s="1">
        <v>77300000</v>
      </c>
      <c r="C122" s="1">
        <v>0</v>
      </c>
      <c r="D122" s="1">
        <v>0</v>
      </c>
      <c r="E122" s="1">
        <v>0</v>
      </c>
      <c r="F122" s="1">
        <v>855000000</v>
      </c>
      <c r="G122" s="1">
        <v>24400000</v>
      </c>
      <c r="H122" s="1">
        <v>18700000</v>
      </c>
      <c r="I122" s="1">
        <v>66300000</v>
      </c>
      <c r="J122" s="1">
        <v>14000000</v>
      </c>
      <c r="K122" s="1">
        <v>5630000000</v>
      </c>
      <c r="L122" s="1">
        <v>0</v>
      </c>
      <c r="M122" s="1">
        <v>868000000</v>
      </c>
      <c r="N122" s="1">
        <v>7560000000</v>
      </c>
    </row>
    <row r="123" spans="1:14" x14ac:dyDescent="0.2">
      <c r="A123" t="s">
        <v>135</v>
      </c>
      <c r="B123" s="1">
        <v>98500000</v>
      </c>
      <c r="C123" s="1">
        <v>0</v>
      </c>
      <c r="D123" s="1">
        <v>0</v>
      </c>
      <c r="E123" s="1">
        <v>0</v>
      </c>
      <c r="F123" s="1">
        <v>620000000</v>
      </c>
      <c r="G123" s="1">
        <v>17000000</v>
      </c>
      <c r="H123" s="1">
        <v>9770000</v>
      </c>
      <c r="I123" s="1">
        <v>2320000</v>
      </c>
      <c r="J123" s="1">
        <v>10700000</v>
      </c>
      <c r="K123" s="1">
        <v>4270000000</v>
      </c>
      <c r="L123" s="1">
        <v>0</v>
      </c>
      <c r="M123" s="1">
        <v>700000000</v>
      </c>
      <c r="N123" s="1">
        <v>5720000000</v>
      </c>
    </row>
    <row r="124" spans="1:14" x14ac:dyDescent="0.2">
      <c r="A124" t="s">
        <v>136</v>
      </c>
      <c r="B124" s="1">
        <v>34000000</v>
      </c>
      <c r="C124" s="1">
        <v>0</v>
      </c>
      <c r="D124" s="1">
        <v>0</v>
      </c>
      <c r="E124" s="1">
        <v>0</v>
      </c>
      <c r="F124" s="1">
        <v>755000000</v>
      </c>
      <c r="G124" s="1">
        <v>25600000</v>
      </c>
      <c r="H124" s="1">
        <v>27500000</v>
      </c>
      <c r="I124" s="1">
        <v>170000000</v>
      </c>
      <c r="J124" s="1">
        <v>813000</v>
      </c>
      <c r="K124" s="1">
        <v>6100000000</v>
      </c>
      <c r="L124" s="1">
        <v>0</v>
      </c>
      <c r="M124" s="1">
        <v>480000000</v>
      </c>
      <c r="N124" s="1">
        <v>7590000000</v>
      </c>
    </row>
    <row r="125" spans="1:14" x14ac:dyDescent="0.2">
      <c r="A125" t="s">
        <v>137</v>
      </c>
      <c r="B125" s="1">
        <v>89000000</v>
      </c>
      <c r="C125" s="1">
        <v>0</v>
      </c>
      <c r="D125" s="1">
        <v>0</v>
      </c>
      <c r="E125" s="1">
        <v>0</v>
      </c>
      <c r="F125" s="1">
        <v>660000000</v>
      </c>
      <c r="G125" s="1">
        <v>24600000</v>
      </c>
      <c r="H125" s="1">
        <v>21400000</v>
      </c>
      <c r="I125" s="1">
        <v>126000000</v>
      </c>
      <c r="J125" s="1">
        <v>8780000</v>
      </c>
      <c r="K125" s="1">
        <v>5700000000</v>
      </c>
      <c r="L125" s="1">
        <v>0</v>
      </c>
      <c r="M125" s="1">
        <v>776000000</v>
      </c>
      <c r="N125" s="1">
        <v>7410000000</v>
      </c>
    </row>
    <row r="126" spans="1:14" x14ac:dyDescent="0.2">
      <c r="A126" t="s">
        <v>138</v>
      </c>
      <c r="B126" s="1">
        <v>114000000</v>
      </c>
      <c r="C126" s="1">
        <v>0</v>
      </c>
      <c r="D126" s="1">
        <v>0</v>
      </c>
      <c r="E126" s="1">
        <v>0</v>
      </c>
      <c r="F126" s="1">
        <v>575000000</v>
      </c>
      <c r="G126" s="1">
        <v>18700000</v>
      </c>
      <c r="H126" s="1">
        <v>14100000</v>
      </c>
      <c r="I126" s="1">
        <v>54200000</v>
      </c>
      <c r="J126" s="1">
        <v>8250000</v>
      </c>
      <c r="K126" s="1">
        <v>4630000000</v>
      </c>
      <c r="L126" s="1">
        <v>0</v>
      </c>
      <c r="M126" s="1">
        <v>984000000</v>
      </c>
      <c r="N126" s="1">
        <v>6400000000</v>
      </c>
    </row>
    <row r="127" spans="1:14" x14ac:dyDescent="0.2">
      <c r="A127" t="s">
        <v>139</v>
      </c>
      <c r="B127" s="1">
        <v>165000000</v>
      </c>
      <c r="C127" s="1">
        <v>0</v>
      </c>
      <c r="D127" s="1">
        <v>0</v>
      </c>
      <c r="E127" s="1">
        <v>0</v>
      </c>
      <c r="F127" s="1">
        <v>0</v>
      </c>
      <c r="G127" s="1">
        <v>34600000</v>
      </c>
      <c r="H127" s="1">
        <v>13500000</v>
      </c>
      <c r="I127" s="1">
        <v>125000000</v>
      </c>
      <c r="J127" s="1">
        <v>23000000</v>
      </c>
      <c r="K127" s="1">
        <v>7370000000</v>
      </c>
      <c r="L127" s="1">
        <v>0</v>
      </c>
      <c r="M127" s="1">
        <v>826000000</v>
      </c>
      <c r="N127" s="1">
        <v>8550000000</v>
      </c>
    </row>
    <row r="128" spans="1:14" x14ac:dyDescent="0.2">
      <c r="A128" t="s">
        <v>140</v>
      </c>
      <c r="B128" s="1">
        <v>107000000</v>
      </c>
      <c r="C128" s="1">
        <v>0</v>
      </c>
      <c r="D128" s="1">
        <v>0</v>
      </c>
      <c r="E128" s="1">
        <v>0</v>
      </c>
      <c r="F128" s="1">
        <v>0</v>
      </c>
      <c r="G128" s="1">
        <v>33200000</v>
      </c>
      <c r="H128" s="1">
        <v>30200000</v>
      </c>
      <c r="I128" s="1">
        <v>94000000</v>
      </c>
      <c r="J128" s="1">
        <v>36000000</v>
      </c>
      <c r="K128" s="1">
        <v>8370000000</v>
      </c>
      <c r="L128" s="1">
        <v>0</v>
      </c>
      <c r="M128" s="1">
        <v>1130000000</v>
      </c>
      <c r="N128" s="1">
        <v>9800000000</v>
      </c>
    </row>
    <row r="129" spans="1:14" x14ac:dyDescent="0.2">
      <c r="A129" t="s">
        <v>141</v>
      </c>
      <c r="B129" s="1">
        <v>176000000</v>
      </c>
      <c r="C129" s="1">
        <v>0</v>
      </c>
      <c r="D129" s="1">
        <v>0</v>
      </c>
      <c r="E129" s="1">
        <v>0</v>
      </c>
      <c r="F129" s="1">
        <v>0</v>
      </c>
      <c r="G129" s="1">
        <v>28600000</v>
      </c>
      <c r="H129" s="1">
        <v>46000000</v>
      </c>
      <c r="I129" s="1">
        <v>0</v>
      </c>
      <c r="J129" s="1">
        <v>41800000</v>
      </c>
      <c r="K129" s="1">
        <v>9430000000</v>
      </c>
      <c r="L129" s="1">
        <v>0</v>
      </c>
      <c r="M129" s="1">
        <v>1500000000</v>
      </c>
      <c r="N129" s="1">
        <v>11200000000</v>
      </c>
    </row>
    <row r="130" spans="1:14" x14ac:dyDescent="0.2">
      <c r="A130" t="s">
        <v>142</v>
      </c>
      <c r="B130" s="1">
        <v>86000000</v>
      </c>
      <c r="C130" s="1">
        <v>0</v>
      </c>
      <c r="D130" s="1">
        <v>0</v>
      </c>
      <c r="E130" s="1">
        <v>0</v>
      </c>
      <c r="F130" s="1">
        <v>416000000</v>
      </c>
      <c r="G130" s="1">
        <v>0</v>
      </c>
      <c r="H130" s="1">
        <v>12400000</v>
      </c>
      <c r="I130" s="1">
        <v>11800000</v>
      </c>
      <c r="J130" s="1">
        <v>16000000</v>
      </c>
      <c r="K130" s="1">
        <v>6670000000</v>
      </c>
      <c r="L130" s="1">
        <v>0</v>
      </c>
      <c r="M130" s="1">
        <v>644000000</v>
      </c>
      <c r="N130" s="1">
        <v>7850000000</v>
      </c>
    </row>
    <row r="131" spans="1:14" x14ac:dyDescent="0.2">
      <c r="A131" t="s">
        <v>143</v>
      </c>
      <c r="B131" s="1">
        <v>250000000</v>
      </c>
      <c r="C131" s="1">
        <v>0</v>
      </c>
      <c r="D131" s="1">
        <v>0</v>
      </c>
      <c r="E131" s="1">
        <v>0</v>
      </c>
      <c r="F131" s="1">
        <v>530000000</v>
      </c>
      <c r="G131" s="1">
        <v>0</v>
      </c>
      <c r="H131" s="1">
        <v>20300000</v>
      </c>
      <c r="I131" s="1">
        <v>0</v>
      </c>
      <c r="J131" s="1">
        <v>30000000</v>
      </c>
      <c r="K131" s="1">
        <v>7070000000</v>
      </c>
      <c r="L131" s="1">
        <v>0</v>
      </c>
      <c r="M131" s="1">
        <v>1600000000</v>
      </c>
      <c r="N131" s="1">
        <v>9490000000</v>
      </c>
    </row>
    <row r="132" spans="1:14" x14ac:dyDescent="0.2">
      <c r="A132" t="s">
        <v>144</v>
      </c>
      <c r="B132" s="1">
        <v>196000000</v>
      </c>
      <c r="C132" s="1">
        <v>0</v>
      </c>
      <c r="D132" s="1">
        <v>0</v>
      </c>
      <c r="E132" s="1">
        <v>0</v>
      </c>
      <c r="F132" s="1">
        <v>463000000</v>
      </c>
      <c r="G132" s="1">
        <v>0</v>
      </c>
      <c r="H132" s="1">
        <v>23700000</v>
      </c>
      <c r="I132" s="1">
        <v>0</v>
      </c>
      <c r="J132" s="1">
        <v>21900000</v>
      </c>
      <c r="K132" s="1">
        <v>6570000000</v>
      </c>
      <c r="L132" s="1">
        <v>0</v>
      </c>
      <c r="M132" s="1">
        <v>1350000000</v>
      </c>
      <c r="N132" s="1">
        <v>8620000000</v>
      </c>
    </row>
    <row r="133" spans="1:14" x14ac:dyDescent="0.2">
      <c r="A133" t="s">
        <v>145</v>
      </c>
      <c r="B133" s="1">
        <v>89500000</v>
      </c>
      <c r="C133" s="1">
        <v>0</v>
      </c>
      <c r="D133" s="1">
        <v>0</v>
      </c>
      <c r="E133" s="1">
        <v>0</v>
      </c>
      <c r="F133" s="1">
        <v>590000000</v>
      </c>
      <c r="G133" s="1">
        <v>14400000</v>
      </c>
      <c r="H133" s="1">
        <v>0</v>
      </c>
      <c r="I133" s="1">
        <v>522000</v>
      </c>
      <c r="J133" s="1">
        <v>43000000</v>
      </c>
      <c r="K133" s="1">
        <v>6730000000</v>
      </c>
      <c r="L133" s="1">
        <v>0</v>
      </c>
      <c r="M133" s="1">
        <v>1030000000</v>
      </c>
      <c r="N133" s="1">
        <v>8500000000</v>
      </c>
    </row>
    <row r="134" spans="1:14" x14ac:dyDescent="0.2">
      <c r="A134" t="s">
        <v>146</v>
      </c>
      <c r="B134" s="1">
        <v>48300000</v>
      </c>
      <c r="C134" s="1">
        <v>0</v>
      </c>
      <c r="D134" s="1">
        <v>0</v>
      </c>
      <c r="E134" s="1">
        <v>0</v>
      </c>
      <c r="F134" s="1">
        <v>424000000</v>
      </c>
      <c r="G134" s="1">
        <v>10700000</v>
      </c>
      <c r="H134" s="1">
        <v>0</v>
      </c>
      <c r="I134" s="1">
        <v>0</v>
      </c>
      <c r="J134" s="1">
        <v>12500000</v>
      </c>
      <c r="K134" s="1">
        <v>5230000000</v>
      </c>
      <c r="L134" s="1">
        <v>0</v>
      </c>
      <c r="M134" s="1">
        <v>786000000</v>
      </c>
      <c r="N134" s="1">
        <v>6510000000</v>
      </c>
    </row>
    <row r="135" spans="1:14" x14ac:dyDescent="0.2">
      <c r="A135" t="s">
        <v>147</v>
      </c>
      <c r="B135" s="1">
        <v>136000000</v>
      </c>
      <c r="C135" s="1">
        <v>0</v>
      </c>
      <c r="D135" s="1">
        <v>0</v>
      </c>
      <c r="E135" s="1">
        <v>0</v>
      </c>
      <c r="F135" s="1">
        <v>565000000</v>
      </c>
      <c r="G135" s="1">
        <v>16900000</v>
      </c>
      <c r="H135" s="1">
        <v>0</v>
      </c>
      <c r="I135" s="1">
        <v>0</v>
      </c>
      <c r="J135" s="1">
        <v>49500000</v>
      </c>
      <c r="K135" s="1">
        <v>6700000000</v>
      </c>
      <c r="L135" s="1">
        <v>0</v>
      </c>
      <c r="M135" s="1">
        <v>1570000000</v>
      </c>
      <c r="N135" s="1">
        <v>9040000000</v>
      </c>
    </row>
    <row r="136" spans="1:14" x14ac:dyDescent="0.2">
      <c r="A136" t="s">
        <v>148</v>
      </c>
      <c r="B136" s="1">
        <v>79000000</v>
      </c>
      <c r="C136" s="1">
        <v>0</v>
      </c>
      <c r="D136" s="1">
        <v>0</v>
      </c>
      <c r="E136" s="1">
        <v>0</v>
      </c>
      <c r="F136" s="1">
        <v>465000000</v>
      </c>
      <c r="G136" s="1">
        <v>15100000</v>
      </c>
      <c r="H136" s="1">
        <v>13800000</v>
      </c>
      <c r="I136" s="1">
        <v>0</v>
      </c>
      <c r="J136" s="1">
        <v>17500000</v>
      </c>
      <c r="K136" s="1">
        <v>5200000000</v>
      </c>
      <c r="L136" s="1">
        <v>0</v>
      </c>
      <c r="M136" s="1">
        <v>700000000</v>
      </c>
      <c r="N136" s="1">
        <v>6490000000</v>
      </c>
    </row>
    <row r="137" spans="1:14" x14ac:dyDescent="0.2">
      <c r="A137" t="s">
        <v>149</v>
      </c>
      <c r="B137" s="1">
        <v>108000000</v>
      </c>
      <c r="C137" s="1">
        <v>0</v>
      </c>
      <c r="D137" s="1">
        <v>0</v>
      </c>
      <c r="E137" s="1">
        <v>0</v>
      </c>
      <c r="F137" s="1">
        <v>565000000</v>
      </c>
      <c r="G137" s="1">
        <v>19800000</v>
      </c>
      <c r="H137" s="1">
        <v>20800000</v>
      </c>
      <c r="I137" s="1">
        <v>0</v>
      </c>
      <c r="J137" s="1">
        <v>35500000</v>
      </c>
      <c r="K137" s="1">
        <v>6070000000</v>
      </c>
      <c r="L137" s="1">
        <v>0</v>
      </c>
      <c r="M137" s="1">
        <v>1140000000</v>
      </c>
      <c r="N137" s="1">
        <v>7960000000</v>
      </c>
    </row>
    <row r="138" spans="1:14" x14ac:dyDescent="0.2">
      <c r="A138" t="s">
        <v>150</v>
      </c>
      <c r="B138" s="1">
        <v>126000000</v>
      </c>
      <c r="C138" s="1">
        <v>72000</v>
      </c>
      <c r="D138" s="1">
        <v>0</v>
      </c>
      <c r="E138" s="1">
        <v>0</v>
      </c>
      <c r="F138" s="1">
        <v>440000000</v>
      </c>
      <c r="G138" s="1">
        <v>14800000</v>
      </c>
      <c r="H138" s="1">
        <v>26800000</v>
      </c>
      <c r="I138" s="1">
        <v>0</v>
      </c>
      <c r="J138" s="1">
        <v>27500000</v>
      </c>
      <c r="K138" s="1">
        <v>4570000000</v>
      </c>
      <c r="L138" s="1">
        <v>0</v>
      </c>
      <c r="M138" s="1">
        <v>1150000000</v>
      </c>
      <c r="N138" s="1">
        <v>6350000000</v>
      </c>
    </row>
    <row r="139" spans="1:14" x14ac:dyDescent="0.2">
      <c r="A139" t="s">
        <v>151</v>
      </c>
      <c r="B139" s="1">
        <v>44500000</v>
      </c>
      <c r="C139" s="1">
        <v>0</v>
      </c>
      <c r="D139" s="1">
        <v>0</v>
      </c>
      <c r="E139" s="1">
        <v>0</v>
      </c>
      <c r="F139" s="1">
        <v>1190000000</v>
      </c>
      <c r="G139" s="1">
        <v>28400000</v>
      </c>
      <c r="H139" s="1">
        <v>24300000</v>
      </c>
      <c r="I139" s="1">
        <v>97200000</v>
      </c>
      <c r="J139" s="1">
        <v>0</v>
      </c>
      <c r="K139" s="1">
        <v>9100000000</v>
      </c>
      <c r="L139" s="1">
        <v>0</v>
      </c>
      <c r="M139" s="1">
        <v>536000000</v>
      </c>
      <c r="N139" s="1">
        <v>11000000000</v>
      </c>
    </row>
    <row r="140" spans="1:14" x14ac:dyDescent="0.2">
      <c r="A140" t="s">
        <v>152</v>
      </c>
      <c r="B140" s="1">
        <v>100000000</v>
      </c>
      <c r="C140" s="1">
        <v>119000</v>
      </c>
      <c r="D140" s="1">
        <v>0</v>
      </c>
      <c r="E140" s="1">
        <v>0</v>
      </c>
      <c r="F140" s="1">
        <v>1080000000</v>
      </c>
      <c r="G140" s="1">
        <v>24600000</v>
      </c>
      <c r="H140" s="1">
        <v>21900000</v>
      </c>
      <c r="I140" s="1">
        <v>114000000</v>
      </c>
      <c r="J140" s="1">
        <v>0</v>
      </c>
      <c r="K140" s="1">
        <v>8030000000</v>
      </c>
      <c r="L140" s="1">
        <v>0</v>
      </c>
      <c r="M140" s="1">
        <v>612000000</v>
      </c>
      <c r="N140" s="1">
        <v>9990000000</v>
      </c>
    </row>
    <row r="141" spans="1:14" x14ac:dyDescent="0.2">
      <c r="A141" t="s">
        <v>153</v>
      </c>
      <c r="B141" s="1">
        <v>99300000</v>
      </c>
      <c r="C141" s="1">
        <v>284000</v>
      </c>
      <c r="D141" s="1">
        <v>0</v>
      </c>
      <c r="E141" s="1">
        <v>0</v>
      </c>
      <c r="F141" s="1">
        <v>1360000000</v>
      </c>
      <c r="G141" s="1">
        <v>34800000</v>
      </c>
      <c r="H141" s="1">
        <v>26600000</v>
      </c>
      <c r="I141" s="1">
        <v>149000000</v>
      </c>
      <c r="J141" s="1">
        <v>0</v>
      </c>
      <c r="K141" s="1">
        <v>11300000000</v>
      </c>
      <c r="L141" s="1">
        <v>0</v>
      </c>
      <c r="M141" s="1">
        <v>724000000</v>
      </c>
      <c r="N141" s="1">
        <v>13700000000</v>
      </c>
    </row>
    <row r="142" spans="1:14" x14ac:dyDescent="0.2">
      <c r="A142" t="s">
        <v>154</v>
      </c>
      <c r="B142" s="1">
        <v>548000000</v>
      </c>
      <c r="C142" s="1">
        <v>0</v>
      </c>
      <c r="D142" s="1">
        <v>0</v>
      </c>
      <c r="E142" s="1">
        <v>237000000</v>
      </c>
      <c r="F142" s="1">
        <v>1050000000</v>
      </c>
      <c r="G142" s="1">
        <v>37400000</v>
      </c>
      <c r="H142" s="1">
        <v>122000000</v>
      </c>
      <c r="I142" s="1">
        <v>161000000</v>
      </c>
      <c r="J142" s="1">
        <v>128000000</v>
      </c>
      <c r="K142" s="1">
        <v>0</v>
      </c>
      <c r="L142" s="1">
        <v>0</v>
      </c>
      <c r="M142" s="1">
        <v>1200000000</v>
      </c>
      <c r="N142" s="1">
        <v>3480000000</v>
      </c>
    </row>
    <row r="143" spans="1:14" x14ac:dyDescent="0.2">
      <c r="A143" t="s">
        <v>155</v>
      </c>
      <c r="B143" s="1">
        <v>52800000</v>
      </c>
      <c r="C143" s="1">
        <v>0</v>
      </c>
      <c r="D143" s="1">
        <v>0</v>
      </c>
      <c r="E143" s="1">
        <v>268000000</v>
      </c>
      <c r="F143" s="1">
        <v>1100000000</v>
      </c>
      <c r="G143" s="1">
        <v>39800000</v>
      </c>
      <c r="H143" s="1">
        <v>161000000</v>
      </c>
      <c r="I143" s="1">
        <v>223000000</v>
      </c>
      <c r="J143" s="1">
        <v>153000000</v>
      </c>
      <c r="K143" s="1">
        <v>0</v>
      </c>
      <c r="L143" s="1">
        <v>0</v>
      </c>
      <c r="M143" s="1">
        <v>1780000000</v>
      </c>
      <c r="N143" s="1">
        <v>3770000000</v>
      </c>
    </row>
    <row r="144" spans="1:14" x14ac:dyDescent="0.2">
      <c r="A144" t="s">
        <v>156</v>
      </c>
      <c r="B144" s="1">
        <v>14200000</v>
      </c>
      <c r="C144" s="1">
        <v>0</v>
      </c>
      <c r="D144" s="1">
        <v>0</v>
      </c>
      <c r="E144" s="1">
        <v>187000000</v>
      </c>
      <c r="F144" s="1">
        <v>640000000</v>
      </c>
      <c r="G144" s="1">
        <v>22600000</v>
      </c>
      <c r="H144" s="1">
        <v>103000000</v>
      </c>
      <c r="I144" s="1">
        <v>90500000</v>
      </c>
      <c r="J144" s="1">
        <v>48800000</v>
      </c>
      <c r="K144" s="1">
        <v>0</v>
      </c>
      <c r="L144" s="1">
        <v>0</v>
      </c>
      <c r="M144" s="1">
        <v>826000000</v>
      </c>
      <c r="N144" s="1">
        <v>1930000000</v>
      </c>
    </row>
    <row r="145" spans="1:14" x14ac:dyDescent="0.2">
      <c r="A145" t="s">
        <v>157</v>
      </c>
      <c r="B145" s="1">
        <v>28300000</v>
      </c>
      <c r="C145" s="1">
        <v>0</v>
      </c>
      <c r="D145" s="1">
        <v>0</v>
      </c>
      <c r="E145" s="1">
        <v>0</v>
      </c>
      <c r="F145" s="1">
        <v>1160000000</v>
      </c>
      <c r="G145" s="1">
        <v>22000000</v>
      </c>
      <c r="H145" s="1">
        <v>27100000</v>
      </c>
      <c r="I145" s="1">
        <v>1150000</v>
      </c>
      <c r="J145" s="1">
        <v>14200000</v>
      </c>
      <c r="K145" s="1">
        <v>6730000000</v>
      </c>
      <c r="L145" s="1">
        <v>0</v>
      </c>
      <c r="M145" s="1">
        <v>972000000</v>
      </c>
      <c r="N145" s="1">
        <v>8960000000</v>
      </c>
    </row>
    <row r="146" spans="1:14" x14ac:dyDescent="0.2">
      <c r="A146" t="s">
        <v>158</v>
      </c>
      <c r="B146" s="1">
        <v>22100000</v>
      </c>
      <c r="C146" s="1">
        <v>0</v>
      </c>
      <c r="D146" s="1">
        <v>0</v>
      </c>
      <c r="E146" s="1">
        <v>0</v>
      </c>
      <c r="F146" s="1">
        <v>1190000000</v>
      </c>
      <c r="G146" s="1">
        <v>21400000</v>
      </c>
      <c r="H146" s="1">
        <v>22300000</v>
      </c>
      <c r="I146" s="1">
        <v>0</v>
      </c>
      <c r="J146" s="1">
        <v>23500000</v>
      </c>
      <c r="K146" s="1">
        <v>7370000000</v>
      </c>
      <c r="L146" s="1">
        <v>0</v>
      </c>
      <c r="M146" s="1">
        <v>950000000</v>
      </c>
      <c r="N146" s="1">
        <v>9590000000</v>
      </c>
    </row>
    <row r="147" spans="1:14" x14ac:dyDescent="0.2">
      <c r="A147" t="s">
        <v>159</v>
      </c>
      <c r="B147" s="1">
        <v>24300000</v>
      </c>
      <c r="C147" s="1">
        <v>0</v>
      </c>
      <c r="D147" s="1">
        <v>0</v>
      </c>
      <c r="E147" s="1">
        <v>0</v>
      </c>
      <c r="F147" s="1">
        <v>1530000000</v>
      </c>
      <c r="G147" s="1">
        <v>26600000</v>
      </c>
      <c r="H147" s="1">
        <v>26500000</v>
      </c>
      <c r="I147" s="1">
        <v>0</v>
      </c>
      <c r="J147" s="1">
        <v>39300000</v>
      </c>
      <c r="K147" s="1">
        <v>10900000000</v>
      </c>
      <c r="L147" s="1">
        <v>0</v>
      </c>
      <c r="M147" s="1">
        <v>1590000000</v>
      </c>
      <c r="N147" s="1">
        <v>14100000000</v>
      </c>
    </row>
    <row r="148" spans="1:14" x14ac:dyDescent="0.2">
      <c r="A148" t="s">
        <v>160</v>
      </c>
      <c r="B148" s="1">
        <v>29300000</v>
      </c>
      <c r="C148" s="1">
        <v>0</v>
      </c>
      <c r="D148" s="1">
        <v>0</v>
      </c>
      <c r="E148" s="1">
        <v>0</v>
      </c>
      <c r="F148" s="1">
        <v>7550000</v>
      </c>
      <c r="G148" s="1">
        <v>118000000</v>
      </c>
      <c r="H148" s="1">
        <v>44700000</v>
      </c>
      <c r="I148" s="1">
        <v>193000000</v>
      </c>
      <c r="J148" s="1">
        <v>19600000</v>
      </c>
      <c r="K148" s="1">
        <v>10200000000</v>
      </c>
      <c r="L148" s="1">
        <v>0</v>
      </c>
      <c r="M148" s="1">
        <v>0</v>
      </c>
      <c r="N148" s="1">
        <v>10600000000</v>
      </c>
    </row>
    <row r="149" spans="1:14" x14ac:dyDescent="0.2">
      <c r="A149" t="s">
        <v>161</v>
      </c>
      <c r="B149" s="1">
        <v>39300000</v>
      </c>
      <c r="C149" s="1">
        <v>0</v>
      </c>
      <c r="D149" s="1">
        <v>0</v>
      </c>
      <c r="E149" s="1">
        <v>0</v>
      </c>
      <c r="F149" s="1">
        <v>14400000</v>
      </c>
      <c r="G149" s="1">
        <v>99600000</v>
      </c>
      <c r="H149" s="1">
        <v>32000000</v>
      </c>
      <c r="I149" s="1">
        <v>250000000</v>
      </c>
      <c r="J149" s="1">
        <v>41300000</v>
      </c>
      <c r="K149" s="1">
        <v>8900000000</v>
      </c>
      <c r="L149" s="1">
        <v>0</v>
      </c>
      <c r="M149" s="1">
        <v>0</v>
      </c>
      <c r="N149" s="1">
        <v>9380000000</v>
      </c>
    </row>
    <row r="150" spans="1:14" x14ac:dyDescent="0.2">
      <c r="A150" t="s">
        <v>162</v>
      </c>
      <c r="B150" s="1">
        <v>41500000</v>
      </c>
      <c r="C150" s="1">
        <v>0</v>
      </c>
      <c r="D150" s="1">
        <v>0</v>
      </c>
      <c r="E150" s="1">
        <v>0</v>
      </c>
      <c r="F150" s="1">
        <v>143000000</v>
      </c>
      <c r="G150" s="1">
        <v>77800000</v>
      </c>
      <c r="H150" s="1">
        <v>51000000</v>
      </c>
      <c r="I150" s="1">
        <v>167000000</v>
      </c>
      <c r="J150" s="1">
        <v>16700000</v>
      </c>
      <c r="K150" s="1">
        <v>9130000000</v>
      </c>
      <c r="L150" s="1">
        <v>0</v>
      </c>
      <c r="M150" s="1">
        <v>0</v>
      </c>
      <c r="N150" s="1">
        <v>9630000000</v>
      </c>
    </row>
    <row r="151" spans="1:14" x14ac:dyDescent="0.2">
      <c r="A151" t="s">
        <v>163</v>
      </c>
      <c r="B151" s="1">
        <v>405000000</v>
      </c>
      <c r="C151" s="1">
        <v>0</v>
      </c>
      <c r="D151" s="1">
        <v>0</v>
      </c>
      <c r="E151" s="1">
        <v>0</v>
      </c>
      <c r="F151" s="1">
        <v>1070000000</v>
      </c>
      <c r="G151" s="1">
        <v>32800000</v>
      </c>
      <c r="H151" s="1">
        <v>36000000</v>
      </c>
      <c r="I151" s="1">
        <v>96800000</v>
      </c>
      <c r="J151" s="1">
        <v>48500000</v>
      </c>
      <c r="K151" s="1">
        <v>10000000000</v>
      </c>
      <c r="L151" s="1">
        <v>0</v>
      </c>
      <c r="M151" s="1">
        <v>1300000000</v>
      </c>
      <c r="N151" s="1">
        <v>13000000000</v>
      </c>
    </row>
    <row r="152" spans="1:14" x14ac:dyDescent="0.2">
      <c r="A152" t="s">
        <v>164</v>
      </c>
      <c r="B152" s="1">
        <v>540000000</v>
      </c>
      <c r="C152" s="1">
        <v>343000</v>
      </c>
      <c r="D152" s="1">
        <v>0</v>
      </c>
      <c r="E152" s="1">
        <v>0</v>
      </c>
      <c r="F152" s="1">
        <v>1490000000</v>
      </c>
      <c r="G152" s="1">
        <v>42000000</v>
      </c>
      <c r="H152" s="1">
        <v>47700000</v>
      </c>
      <c r="I152" s="1">
        <v>108000000</v>
      </c>
      <c r="J152" s="1">
        <v>60000000</v>
      </c>
      <c r="K152" s="1">
        <v>16600000000</v>
      </c>
      <c r="L152" s="1">
        <v>0</v>
      </c>
      <c r="M152" s="1">
        <v>1810000000</v>
      </c>
      <c r="N152" s="1">
        <v>20700000000</v>
      </c>
    </row>
    <row r="153" spans="1:14" x14ac:dyDescent="0.2">
      <c r="A153" t="s">
        <v>165</v>
      </c>
      <c r="B153" s="1">
        <v>1040000000</v>
      </c>
      <c r="C153" s="1">
        <v>0</v>
      </c>
      <c r="D153" s="1">
        <v>0</v>
      </c>
      <c r="E153" s="1">
        <v>0</v>
      </c>
      <c r="F153" s="1">
        <v>2130000000</v>
      </c>
      <c r="G153" s="1">
        <v>60000000</v>
      </c>
      <c r="H153" s="1">
        <v>147000000</v>
      </c>
      <c r="I153" s="1">
        <v>18000000</v>
      </c>
      <c r="J153" s="1">
        <v>117000000</v>
      </c>
      <c r="K153" s="1">
        <v>20800000000</v>
      </c>
      <c r="L153" s="1">
        <v>0</v>
      </c>
      <c r="M153" s="1">
        <v>3840000000</v>
      </c>
      <c r="N153" s="1">
        <v>28100000000</v>
      </c>
    </row>
    <row r="154" spans="1:14" x14ac:dyDescent="0.2">
      <c r="A154" t="s">
        <v>166</v>
      </c>
      <c r="B154" s="1">
        <v>84300000</v>
      </c>
      <c r="C154" s="1">
        <v>0</v>
      </c>
      <c r="D154" s="1">
        <v>0</v>
      </c>
      <c r="E154" s="1">
        <v>0</v>
      </c>
      <c r="F154" s="1">
        <v>975000000</v>
      </c>
      <c r="G154" s="1">
        <v>26200000</v>
      </c>
      <c r="H154" s="1">
        <v>13000000</v>
      </c>
      <c r="I154" s="1">
        <v>252000000</v>
      </c>
      <c r="J154" s="1">
        <v>31500000</v>
      </c>
      <c r="K154" s="1">
        <v>7830000000</v>
      </c>
      <c r="L154" s="1">
        <v>0</v>
      </c>
      <c r="M154" s="1">
        <v>1310000000</v>
      </c>
      <c r="N154" s="1">
        <v>10500000000</v>
      </c>
    </row>
    <row r="155" spans="1:14" x14ac:dyDescent="0.2">
      <c r="A155" t="s">
        <v>167</v>
      </c>
      <c r="B155" s="1">
        <v>31500000</v>
      </c>
      <c r="C155" s="1">
        <v>0</v>
      </c>
      <c r="D155" s="1">
        <v>0</v>
      </c>
      <c r="E155" s="1">
        <v>0</v>
      </c>
      <c r="F155" s="1">
        <v>1320000000</v>
      </c>
      <c r="G155" s="1">
        <v>29000000</v>
      </c>
      <c r="H155" s="1">
        <v>18500000</v>
      </c>
      <c r="I155" s="1">
        <v>235000000</v>
      </c>
      <c r="J155" s="1">
        <v>17900000</v>
      </c>
      <c r="K155" s="1">
        <v>11100000000</v>
      </c>
      <c r="L155" s="1">
        <v>0</v>
      </c>
      <c r="M155" s="1">
        <v>1360000000</v>
      </c>
      <c r="N155" s="1">
        <v>14100000000</v>
      </c>
    </row>
    <row r="156" spans="1:14" x14ac:dyDescent="0.2">
      <c r="A156" t="s">
        <v>168</v>
      </c>
      <c r="B156" s="1">
        <v>153000000</v>
      </c>
      <c r="C156" s="1">
        <v>0</v>
      </c>
      <c r="D156" s="1">
        <v>0</v>
      </c>
      <c r="E156" s="1">
        <v>0</v>
      </c>
      <c r="F156" s="1">
        <v>910000000</v>
      </c>
      <c r="G156" s="1">
        <v>13000000</v>
      </c>
      <c r="H156" s="1">
        <v>37700000</v>
      </c>
      <c r="I156" s="1">
        <v>41300000</v>
      </c>
      <c r="J156" s="1">
        <v>15100000</v>
      </c>
      <c r="K156" s="1">
        <v>5970000000</v>
      </c>
      <c r="L156" s="1">
        <v>0</v>
      </c>
      <c r="M156" s="1">
        <v>1630000000</v>
      </c>
      <c r="N156" s="1">
        <v>8770000000</v>
      </c>
    </row>
    <row r="157" spans="1:14" x14ac:dyDescent="0.2">
      <c r="A157" t="s">
        <v>169</v>
      </c>
      <c r="B157" s="1">
        <v>0</v>
      </c>
      <c r="C157" s="1">
        <v>130000000</v>
      </c>
      <c r="D157" s="1">
        <v>0</v>
      </c>
      <c r="E157" s="1">
        <v>0</v>
      </c>
      <c r="F157" s="1">
        <v>1430000000</v>
      </c>
      <c r="G157" s="1">
        <v>36200000</v>
      </c>
      <c r="H157" s="1">
        <v>547000</v>
      </c>
      <c r="I157" s="1">
        <v>99500000</v>
      </c>
      <c r="J157" s="1">
        <v>323000000</v>
      </c>
      <c r="K157" s="1">
        <v>11400000000</v>
      </c>
      <c r="L157" s="1">
        <v>11400000</v>
      </c>
      <c r="M157" s="1">
        <v>2220000000</v>
      </c>
      <c r="N157" s="1">
        <v>15700000000</v>
      </c>
    </row>
    <row r="158" spans="1:14" x14ac:dyDescent="0.2">
      <c r="A158" t="s">
        <v>170</v>
      </c>
      <c r="B158" s="1">
        <v>0</v>
      </c>
      <c r="C158" s="1">
        <v>60000000</v>
      </c>
      <c r="D158" s="1">
        <v>0</v>
      </c>
      <c r="E158" s="1">
        <v>0</v>
      </c>
      <c r="F158" s="1">
        <v>965000000</v>
      </c>
      <c r="G158" s="1">
        <v>31000000</v>
      </c>
      <c r="H158" s="1">
        <v>317000</v>
      </c>
      <c r="I158" s="1">
        <v>38800000</v>
      </c>
      <c r="J158" s="1">
        <v>183000000</v>
      </c>
      <c r="K158" s="1">
        <v>7170000000</v>
      </c>
      <c r="L158" s="1">
        <v>5450000</v>
      </c>
      <c r="M158" s="1">
        <v>1830000000</v>
      </c>
      <c r="N158" s="1">
        <v>10300000000</v>
      </c>
    </row>
    <row r="159" spans="1:14" x14ac:dyDescent="0.2">
      <c r="A159" t="s">
        <v>171</v>
      </c>
      <c r="B159" s="1">
        <v>0</v>
      </c>
      <c r="C159" s="1">
        <v>0</v>
      </c>
      <c r="D159" s="1">
        <v>0</v>
      </c>
      <c r="E159" s="1">
        <v>0</v>
      </c>
      <c r="F159" s="1">
        <v>930000000</v>
      </c>
      <c r="G159" s="1">
        <v>25400000</v>
      </c>
      <c r="H159" s="1">
        <v>2880000</v>
      </c>
      <c r="I159" s="1">
        <v>36800000</v>
      </c>
      <c r="J159" s="1">
        <v>182000000</v>
      </c>
      <c r="K159" s="1">
        <v>6670000000</v>
      </c>
      <c r="L159" s="1">
        <v>470000</v>
      </c>
      <c r="M159" s="1">
        <v>674000000</v>
      </c>
      <c r="N159" s="1">
        <v>8520000000</v>
      </c>
    </row>
    <row r="160" spans="1:14" x14ac:dyDescent="0.2">
      <c r="A160" t="s">
        <v>172</v>
      </c>
      <c r="B160" s="1">
        <v>172000000</v>
      </c>
      <c r="C160" s="1">
        <v>0</v>
      </c>
      <c r="D160" s="1">
        <v>0</v>
      </c>
      <c r="E160" s="1">
        <v>0</v>
      </c>
      <c r="F160" s="1">
        <v>880000000</v>
      </c>
      <c r="G160" s="1">
        <v>50000000</v>
      </c>
      <c r="H160" s="1">
        <v>5500000</v>
      </c>
      <c r="I160" s="1">
        <v>285000000</v>
      </c>
      <c r="J160" s="1">
        <v>21900000</v>
      </c>
      <c r="K160" s="1">
        <v>7930000000</v>
      </c>
      <c r="L160" s="1">
        <v>0</v>
      </c>
      <c r="M160" s="1">
        <v>1140000000</v>
      </c>
      <c r="N160" s="1">
        <v>10500000000</v>
      </c>
    </row>
    <row r="161" spans="1:14" x14ac:dyDescent="0.2">
      <c r="A161" t="s">
        <v>173</v>
      </c>
      <c r="B161" s="1">
        <v>78300000</v>
      </c>
      <c r="C161" s="1">
        <v>0</v>
      </c>
      <c r="D161" s="1">
        <v>0</v>
      </c>
      <c r="E161" s="1">
        <v>0</v>
      </c>
      <c r="F161" s="1">
        <v>685000000</v>
      </c>
      <c r="G161" s="1">
        <v>28400000</v>
      </c>
      <c r="H161" s="1">
        <v>6330000</v>
      </c>
      <c r="I161" s="1">
        <v>87200000</v>
      </c>
      <c r="J161" s="1">
        <v>4600000</v>
      </c>
      <c r="K161" s="1">
        <v>5370000000</v>
      </c>
      <c r="L161" s="1">
        <v>0</v>
      </c>
      <c r="M161" s="1">
        <v>630000000</v>
      </c>
      <c r="N161" s="1">
        <v>6890000000</v>
      </c>
    </row>
    <row r="162" spans="1:14" x14ac:dyDescent="0.2">
      <c r="A162" t="s">
        <v>174</v>
      </c>
      <c r="B162" s="1">
        <v>99500000</v>
      </c>
      <c r="C162" s="1">
        <v>0</v>
      </c>
      <c r="D162" s="1">
        <v>0</v>
      </c>
      <c r="E162" s="1">
        <v>0</v>
      </c>
      <c r="F162" s="1">
        <v>955000000</v>
      </c>
      <c r="G162" s="1">
        <v>33800000</v>
      </c>
      <c r="H162" s="1">
        <v>4230000</v>
      </c>
      <c r="I162" s="1">
        <v>44300000</v>
      </c>
      <c r="J162" s="1">
        <v>16100000</v>
      </c>
      <c r="K162" s="1">
        <v>6800000000</v>
      </c>
      <c r="L162" s="1">
        <v>0</v>
      </c>
      <c r="M162" s="1">
        <v>730000000</v>
      </c>
      <c r="N162" s="1">
        <v>8680000000</v>
      </c>
    </row>
    <row r="163" spans="1:14" x14ac:dyDescent="0.2">
      <c r="A163" t="s">
        <v>175</v>
      </c>
      <c r="B163" s="1">
        <v>146000000</v>
      </c>
      <c r="C163" s="1">
        <v>0</v>
      </c>
      <c r="D163" s="1">
        <v>0</v>
      </c>
      <c r="E163" s="1">
        <v>0</v>
      </c>
      <c r="F163" s="1">
        <v>780000000</v>
      </c>
      <c r="G163" s="1">
        <v>44200000</v>
      </c>
      <c r="H163" s="1">
        <v>4130000</v>
      </c>
      <c r="I163" s="1">
        <v>313000000</v>
      </c>
      <c r="J163" s="1">
        <v>30500000</v>
      </c>
      <c r="K163" s="1">
        <v>6700000000</v>
      </c>
      <c r="L163" s="1">
        <v>0</v>
      </c>
      <c r="M163" s="1">
        <v>894000000</v>
      </c>
      <c r="N163" s="1">
        <v>8910000000</v>
      </c>
    </row>
    <row r="164" spans="1:14" x14ac:dyDescent="0.2">
      <c r="A164" t="s">
        <v>176</v>
      </c>
      <c r="B164" s="1">
        <v>61000000</v>
      </c>
      <c r="C164" s="1">
        <v>0</v>
      </c>
      <c r="D164" s="1">
        <v>0</v>
      </c>
      <c r="E164" s="1">
        <v>0</v>
      </c>
      <c r="F164" s="1">
        <v>630000000</v>
      </c>
      <c r="G164" s="1">
        <v>29800000</v>
      </c>
      <c r="H164" s="1">
        <v>7170000</v>
      </c>
      <c r="I164" s="1">
        <v>323000000</v>
      </c>
      <c r="J164" s="1">
        <v>3630000</v>
      </c>
      <c r="K164" s="1">
        <v>6430000000</v>
      </c>
      <c r="L164" s="1">
        <v>0</v>
      </c>
      <c r="M164" s="1">
        <v>502000000</v>
      </c>
      <c r="N164" s="1">
        <v>7990000000</v>
      </c>
    </row>
    <row r="165" spans="1:14" x14ac:dyDescent="0.2">
      <c r="A165" t="s">
        <v>177</v>
      </c>
      <c r="B165" s="1">
        <v>73300000</v>
      </c>
      <c r="C165" s="1">
        <v>0</v>
      </c>
      <c r="D165" s="1">
        <v>0</v>
      </c>
      <c r="E165" s="1">
        <v>0</v>
      </c>
      <c r="F165" s="1">
        <v>745000000</v>
      </c>
      <c r="G165" s="1">
        <v>40000000</v>
      </c>
      <c r="H165" s="1">
        <v>4900000</v>
      </c>
      <c r="I165" s="1">
        <v>154000000</v>
      </c>
      <c r="J165" s="1">
        <v>5530000</v>
      </c>
      <c r="K165" s="1">
        <v>6900000000</v>
      </c>
      <c r="L165" s="1">
        <v>0</v>
      </c>
      <c r="M165" s="1">
        <v>880000000</v>
      </c>
      <c r="N165" s="1">
        <v>8800000000</v>
      </c>
    </row>
    <row r="166" spans="1:14" x14ac:dyDescent="0.2">
      <c r="A166" t="s">
        <v>178</v>
      </c>
      <c r="B166" s="1">
        <v>120000000</v>
      </c>
      <c r="C166" s="1">
        <v>0</v>
      </c>
      <c r="D166" s="1">
        <v>0</v>
      </c>
      <c r="E166" s="1">
        <v>0</v>
      </c>
      <c r="F166" s="1">
        <v>1190000000</v>
      </c>
      <c r="G166" s="1">
        <v>76200000</v>
      </c>
      <c r="H166" s="1">
        <v>10000000</v>
      </c>
      <c r="I166" s="1">
        <v>302000000</v>
      </c>
      <c r="J166" s="1">
        <v>22300000</v>
      </c>
      <c r="K166" s="1">
        <v>9470000000</v>
      </c>
      <c r="L166" s="1">
        <v>0</v>
      </c>
      <c r="M166" s="1">
        <v>1270000000</v>
      </c>
      <c r="N166" s="1">
        <v>12500000000</v>
      </c>
    </row>
    <row r="167" spans="1:14" x14ac:dyDescent="0.2">
      <c r="A167" t="s">
        <v>179</v>
      </c>
      <c r="B167" s="1">
        <v>114000000</v>
      </c>
      <c r="C167" s="1">
        <v>0</v>
      </c>
      <c r="D167" s="1">
        <v>0</v>
      </c>
      <c r="E167" s="1">
        <v>0</v>
      </c>
      <c r="F167" s="1">
        <v>790000000</v>
      </c>
      <c r="G167" s="1">
        <v>35200000</v>
      </c>
      <c r="H167" s="1">
        <v>5270000</v>
      </c>
      <c r="I167" s="1">
        <v>145000000</v>
      </c>
      <c r="J167" s="1">
        <v>25300000</v>
      </c>
      <c r="K167" s="1">
        <v>5770000000</v>
      </c>
      <c r="L167" s="1">
        <v>0</v>
      </c>
      <c r="M167" s="1">
        <v>626000000</v>
      </c>
      <c r="N167" s="1">
        <v>7510000000</v>
      </c>
    </row>
    <row r="168" spans="1:14" x14ac:dyDescent="0.2">
      <c r="A168" t="s">
        <v>180</v>
      </c>
      <c r="B168" s="1">
        <v>62000000</v>
      </c>
      <c r="C168" s="1">
        <v>0</v>
      </c>
      <c r="D168" s="1">
        <v>0</v>
      </c>
      <c r="E168" s="1">
        <v>0</v>
      </c>
      <c r="F168" s="1">
        <v>431000000</v>
      </c>
      <c r="G168" s="1">
        <v>16200000</v>
      </c>
      <c r="H168" s="1">
        <v>2850000</v>
      </c>
      <c r="I168" s="1">
        <v>183000</v>
      </c>
      <c r="J168" s="1">
        <v>4000000</v>
      </c>
      <c r="K168" s="1">
        <v>3170000000</v>
      </c>
      <c r="L168" s="1">
        <v>0</v>
      </c>
      <c r="M168" s="1">
        <v>328000000</v>
      </c>
      <c r="N168" s="1">
        <v>4010000000</v>
      </c>
    </row>
    <row r="169" spans="1:14" x14ac:dyDescent="0.2">
      <c r="A169" t="s">
        <v>181</v>
      </c>
      <c r="B169" s="1">
        <v>27000000</v>
      </c>
      <c r="C169" s="1">
        <v>0</v>
      </c>
      <c r="D169" s="1">
        <v>0</v>
      </c>
      <c r="E169" s="1">
        <v>0</v>
      </c>
      <c r="F169" s="1">
        <v>0</v>
      </c>
      <c r="G169" s="1">
        <v>46800000</v>
      </c>
      <c r="H169" s="1">
        <v>22600000</v>
      </c>
      <c r="I169" s="1">
        <v>295000000</v>
      </c>
      <c r="J169" s="1">
        <v>22600000</v>
      </c>
      <c r="K169" s="1">
        <v>7730000000</v>
      </c>
      <c r="L169" s="1">
        <v>0</v>
      </c>
      <c r="M169" s="1">
        <v>442000000</v>
      </c>
      <c r="N169" s="1">
        <v>8590000000</v>
      </c>
    </row>
    <row r="170" spans="1:14" x14ac:dyDescent="0.2">
      <c r="A170" t="s">
        <v>182</v>
      </c>
      <c r="B170" s="1">
        <v>59500000</v>
      </c>
      <c r="C170" s="1">
        <v>0</v>
      </c>
      <c r="D170" s="1">
        <v>0</v>
      </c>
      <c r="E170" s="1">
        <v>0</v>
      </c>
      <c r="F170" s="1">
        <v>0</v>
      </c>
      <c r="G170" s="1">
        <v>60600000</v>
      </c>
      <c r="H170" s="1">
        <v>25700000</v>
      </c>
      <c r="I170" s="1">
        <v>312000000</v>
      </c>
      <c r="J170" s="1">
        <v>11400000</v>
      </c>
      <c r="K170" s="1">
        <v>10200000000</v>
      </c>
      <c r="L170" s="1">
        <v>0</v>
      </c>
      <c r="M170" s="1">
        <v>502000000</v>
      </c>
      <c r="N170" s="1">
        <v>11100000000</v>
      </c>
    </row>
    <row r="171" spans="1:14" x14ac:dyDescent="0.2">
      <c r="A171" t="s">
        <v>183</v>
      </c>
      <c r="B171" s="1">
        <v>107000000</v>
      </c>
      <c r="C171" s="1">
        <v>0</v>
      </c>
      <c r="D171" s="1">
        <v>0</v>
      </c>
      <c r="E171" s="1">
        <v>0</v>
      </c>
      <c r="F171" s="1">
        <v>0</v>
      </c>
      <c r="G171" s="1">
        <v>60400000</v>
      </c>
      <c r="H171" s="1">
        <v>31300000</v>
      </c>
      <c r="I171" s="1">
        <v>322000000</v>
      </c>
      <c r="J171" s="1">
        <v>13800000</v>
      </c>
      <c r="K171" s="1">
        <v>10300000000</v>
      </c>
      <c r="L171" s="1">
        <v>0</v>
      </c>
      <c r="M171" s="1">
        <v>800000000</v>
      </c>
      <c r="N171" s="1">
        <v>11600000000</v>
      </c>
    </row>
    <row r="172" spans="1:14" x14ac:dyDescent="0.2">
      <c r="A172" t="s">
        <v>184</v>
      </c>
      <c r="B172" s="1">
        <v>134000000</v>
      </c>
      <c r="C172" s="1">
        <v>0</v>
      </c>
      <c r="D172" s="1">
        <v>0</v>
      </c>
      <c r="E172" s="1">
        <v>0</v>
      </c>
      <c r="F172" s="1">
        <v>915000000</v>
      </c>
      <c r="G172" s="1">
        <v>0</v>
      </c>
      <c r="H172" s="1">
        <v>26700000</v>
      </c>
      <c r="I172" s="1">
        <v>325000000</v>
      </c>
      <c r="J172" s="1">
        <v>27500000</v>
      </c>
      <c r="K172" s="1">
        <v>10500000000</v>
      </c>
      <c r="L172" s="1">
        <v>0</v>
      </c>
      <c r="M172" s="1">
        <v>966000000</v>
      </c>
      <c r="N172" s="1">
        <v>12900000000</v>
      </c>
    </row>
    <row r="173" spans="1:14" x14ac:dyDescent="0.2">
      <c r="A173" t="s">
        <v>185</v>
      </c>
      <c r="B173" s="1">
        <v>78800000</v>
      </c>
      <c r="C173" s="1">
        <v>0</v>
      </c>
      <c r="D173" s="1">
        <v>0</v>
      </c>
      <c r="E173" s="1">
        <v>0</v>
      </c>
      <c r="F173" s="1">
        <v>930000000</v>
      </c>
      <c r="G173" s="1">
        <v>0</v>
      </c>
      <c r="H173" s="1">
        <v>24200000</v>
      </c>
      <c r="I173" s="1">
        <v>275000000</v>
      </c>
      <c r="J173" s="1">
        <v>18000000</v>
      </c>
      <c r="K173" s="1">
        <v>9700000000</v>
      </c>
      <c r="L173" s="1">
        <v>0</v>
      </c>
      <c r="M173" s="1">
        <v>1070000000</v>
      </c>
      <c r="N173" s="1">
        <v>12100000000</v>
      </c>
    </row>
    <row r="174" spans="1:14" x14ac:dyDescent="0.2">
      <c r="A174" t="s">
        <v>186</v>
      </c>
      <c r="B174" s="1">
        <v>97500000</v>
      </c>
      <c r="C174" s="1">
        <v>0</v>
      </c>
      <c r="D174" s="1">
        <v>0</v>
      </c>
      <c r="E174" s="1">
        <v>0</v>
      </c>
      <c r="F174" s="1">
        <v>790000000</v>
      </c>
      <c r="G174" s="1">
        <v>0</v>
      </c>
      <c r="H174" s="1">
        <v>20600000</v>
      </c>
      <c r="I174" s="1">
        <v>202000000</v>
      </c>
      <c r="J174" s="1">
        <v>9830000</v>
      </c>
      <c r="K174" s="1">
        <v>7930000000</v>
      </c>
      <c r="L174" s="1">
        <v>0</v>
      </c>
      <c r="M174" s="1">
        <v>1230000000</v>
      </c>
      <c r="N174" s="1">
        <v>10300000000</v>
      </c>
    </row>
    <row r="175" spans="1:14" x14ac:dyDescent="0.2">
      <c r="A175" t="s">
        <v>187</v>
      </c>
      <c r="B175" s="1">
        <v>68800000</v>
      </c>
      <c r="C175" s="1">
        <v>0</v>
      </c>
      <c r="D175" s="1">
        <v>0</v>
      </c>
      <c r="E175" s="1">
        <v>0</v>
      </c>
      <c r="F175" s="1">
        <v>735000000</v>
      </c>
      <c r="G175" s="1">
        <v>19600000</v>
      </c>
      <c r="H175" s="1">
        <v>11100000</v>
      </c>
      <c r="I175" s="1">
        <v>0</v>
      </c>
      <c r="J175" s="1">
        <v>27500000</v>
      </c>
      <c r="K175" s="1">
        <v>5430000000</v>
      </c>
      <c r="L175" s="1">
        <v>0</v>
      </c>
      <c r="M175" s="1">
        <v>494000000</v>
      </c>
      <c r="N175" s="1">
        <v>6790000000</v>
      </c>
    </row>
    <row r="176" spans="1:14" x14ac:dyDescent="0.2">
      <c r="A176" t="s">
        <v>188</v>
      </c>
      <c r="B176" s="1">
        <v>24800000</v>
      </c>
      <c r="C176" s="1">
        <v>0</v>
      </c>
      <c r="D176" s="1">
        <v>0</v>
      </c>
      <c r="E176" s="1">
        <v>0</v>
      </c>
      <c r="F176" s="1">
        <v>685000000</v>
      </c>
      <c r="G176" s="1">
        <v>20200000</v>
      </c>
      <c r="H176" s="1">
        <v>9770000</v>
      </c>
      <c r="I176" s="1">
        <v>0</v>
      </c>
      <c r="J176" s="1">
        <v>7630000</v>
      </c>
      <c r="K176" s="1">
        <v>5270000000</v>
      </c>
      <c r="L176" s="1">
        <v>0</v>
      </c>
      <c r="M176" s="1">
        <v>348000000</v>
      </c>
      <c r="N176" s="1">
        <v>6360000000</v>
      </c>
    </row>
    <row r="177" spans="1:14" x14ac:dyDescent="0.2">
      <c r="A177" t="s">
        <v>189</v>
      </c>
      <c r="B177" s="1">
        <v>73500000</v>
      </c>
      <c r="C177" s="1">
        <v>0</v>
      </c>
      <c r="D177" s="1">
        <v>0</v>
      </c>
      <c r="E177" s="1">
        <v>0</v>
      </c>
      <c r="F177" s="1">
        <v>685000000</v>
      </c>
      <c r="G177" s="1">
        <v>15500000</v>
      </c>
      <c r="H177" s="1">
        <v>10700000</v>
      </c>
      <c r="I177" s="1">
        <v>0</v>
      </c>
      <c r="J177" s="1">
        <v>30300000</v>
      </c>
      <c r="K177" s="1">
        <v>5300000000</v>
      </c>
      <c r="L177" s="1">
        <v>0</v>
      </c>
      <c r="M177" s="1">
        <v>638000000</v>
      </c>
      <c r="N177" s="1">
        <v>6750000000</v>
      </c>
    </row>
    <row r="178" spans="1:14" x14ac:dyDescent="0.2">
      <c r="A178" t="s">
        <v>190</v>
      </c>
      <c r="B178" s="1">
        <v>0</v>
      </c>
      <c r="C178" s="1">
        <v>0</v>
      </c>
      <c r="D178" s="1">
        <v>0</v>
      </c>
      <c r="E178" s="1">
        <v>0</v>
      </c>
      <c r="F178" s="1">
        <v>1350000000</v>
      </c>
      <c r="G178" s="1">
        <v>42600000</v>
      </c>
      <c r="H178" s="1">
        <v>26400000</v>
      </c>
      <c r="I178" s="1">
        <v>478000000</v>
      </c>
      <c r="J178" s="1">
        <v>0</v>
      </c>
      <c r="K178" s="1">
        <v>13000000000</v>
      </c>
      <c r="L178" s="1">
        <v>0</v>
      </c>
      <c r="M178" s="1">
        <v>1410000000</v>
      </c>
      <c r="N178" s="1">
        <v>16300000000</v>
      </c>
    </row>
    <row r="179" spans="1:14" x14ac:dyDescent="0.2">
      <c r="A179" t="s">
        <v>191</v>
      </c>
      <c r="B179" s="1">
        <v>0</v>
      </c>
      <c r="C179" s="1">
        <v>0</v>
      </c>
      <c r="D179" s="1">
        <v>0</v>
      </c>
      <c r="E179" s="1">
        <v>0</v>
      </c>
      <c r="F179" s="1">
        <v>1370000000</v>
      </c>
      <c r="G179" s="1">
        <v>40400000</v>
      </c>
      <c r="H179" s="1">
        <v>30800000</v>
      </c>
      <c r="I179" s="1">
        <v>390000000</v>
      </c>
      <c r="J179" s="1">
        <v>0</v>
      </c>
      <c r="K179" s="1">
        <v>13000000000</v>
      </c>
      <c r="L179" s="1">
        <v>0</v>
      </c>
      <c r="M179" s="1">
        <v>2100000000</v>
      </c>
      <c r="N179" s="1">
        <v>16900000000</v>
      </c>
    </row>
    <row r="180" spans="1:14" x14ac:dyDescent="0.2">
      <c r="A180" t="s">
        <v>192</v>
      </c>
      <c r="B180" s="1">
        <v>0</v>
      </c>
      <c r="C180" s="1">
        <v>0</v>
      </c>
      <c r="D180" s="1">
        <v>0</v>
      </c>
      <c r="E180" s="1">
        <v>0</v>
      </c>
      <c r="F180" s="1">
        <v>925000000</v>
      </c>
      <c r="G180" s="1">
        <v>28000000</v>
      </c>
      <c r="H180" s="1">
        <v>20200000</v>
      </c>
      <c r="I180" s="1">
        <v>232000000</v>
      </c>
      <c r="J180" s="1">
        <v>0</v>
      </c>
      <c r="K180" s="1">
        <v>8430000000</v>
      </c>
      <c r="L180" s="1">
        <v>0</v>
      </c>
      <c r="M180" s="1">
        <v>1240000000</v>
      </c>
      <c r="N180" s="1">
        <v>10900000000</v>
      </c>
    </row>
    <row r="181" spans="1:14" x14ac:dyDescent="0.2">
      <c r="A181" t="s">
        <v>193</v>
      </c>
      <c r="B181" s="1">
        <v>0</v>
      </c>
      <c r="C181" s="1">
        <v>0</v>
      </c>
      <c r="D181" s="1">
        <v>0</v>
      </c>
      <c r="E181" s="1">
        <v>0</v>
      </c>
      <c r="F181" s="1">
        <v>715000000</v>
      </c>
      <c r="G181" s="1">
        <v>25600000</v>
      </c>
      <c r="H181" s="1">
        <v>30100000</v>
      </c>
      <c r="I181" s="1">
        <v>260000000</v>
      </c>
      <c r="J181" s="1">
        <v>0</v>
      </c>
      <c r="K181" s="1">
        <v>8200000000</v>
      </c>
      <c r="L181" s="1">
        <v>0</v>
      </c>
      <c r="M181" s="1">
        <v>554000000</v>
      </c>
      <c r="N181" s="1">
        <v>9780000000</v>
      </c>
    </row>
    <row r="182" spans="1:14" x14ac:dyDescent="0.2">
      <c r="A182" t="s">
        <v>194</v>
      </c>
      <c r="B182" s="1">
        <v>0</v>
      </c>
      <c r="C182" s="1">
        <v>0</v>
      </c>
      <c r="D182" s="1">
        <v>0</v>
      </c>
      <c r="E182" s="1">
        <v>0</v>
      </c>
      <c r="F182" s="1">
        <v>795000000</v>
      </c>
      <c r="G182" s="1">
        <v>18000000</v>
      </c>
      <c r="H182" s="1">
        <v>23500000</v>
      </c>
      <c r="I182" s="1">
        <v>180000000</v>
      </c>
      <c r="J182" s="1">
        <v>6450000</v>
      </c>
      <c r="K182" s="1">
        <v>7030000000</v>
      </c>
      <c r="L182" s="1">
        <v>0</v>
      </c>
      <c r="M182" s="1">
        <v>622000000</v>
      </c>
      <c r="N182" s="1">
        <v>8680000000</v>
      </c>
    </row>
    <row r="183" spans="1:14" x14ac:dyDescent="0.2">
      <c r="A183" t="s">
        <v>195</v>
      </c>
      <c r="B183" s="1">
        <v>0</v>
      </c>
      <c r="C183" s="1">
        <v>0</v>
      </c>
      <c r="D183" s="1">
        <v>0</v>
      </c>
      <c r="E183" s="1">
        <v>0</v>
      </c>
      <c r="F183" s="1">
        <v>745000000</v>
      </c>
      <c r="G183" s="1">
        <v>17600000</v>
      </c>
      <c r="H183" s="1">
        <v>11400000</v>
      </c>
      <c r="I183" s="1">
        <v>105000000</v>
      </c>
      <c r="J183" s="1">
        <v>22000000</v>
      </c>
      <c r="K183" s="1">
        <v>6470000000</v>
      </c>
      <c r="L183" s="1">
        <v>0</v>
      </c>
      <c r="M183" s="1">
        <v>680000000</v>
      </c>
      <c r="N183" s="1">
        <v>8050000000</v>
      </c>
    </row>
    <row r="184" spans="1:14" x14ac:dyDescent="0.2">
      <c r="A184" t="s">
        <v>196</v>
      </c>
      <c r="B184" s="1">
        <v>153000000</v>
      </c>
      <c r="C184" s="1">
        <v>0</v>
      </c>
      <c r="D184" s="1">
        <v>0</v>
      </c>
      <c r="E184" s="1">
        <v>0</v>
      </c>
      <c r="F184" s="1">
        <v>35500000</v>
      </c>
      <c r="G184" s="1">
        <v>38400000</v>
      </c>
      <c r="H184" s="1">
        <v>53300000</v>
      </c>
      <c r="I184" s="1">
        <v>292000000</v>
      </c>
      <c r="J184" s="1">
        <v>745000</v>
      </c>
      <c r="K184" s="1">
        <v>6870000000</v>
      </c>
      <c r="L184" s="1">
        <v>0</v>
      </c>
      <c r="M184" s="1">
        <v>0</v>
      </c>
      <c r="N184" s="1">
        <v>7440000000</v>
      </c>
    </row>
    <row r="185" spans="1:14" x14ac:dyDescent="0.2">
      <c r="A185" t="s">
        <v>197</v>
      </c>
      <c r="B185" s="1">
        <v>71500000</v>
      </c>
      <c r="C185" s="1">
        <v>0</v>
      </c>
      <c r="D185" s="1">
        <v>0</v>
      </c>
      <c r="E185" s="1">
        <v>0</v>
      </c>
      <c r="F185" s="1">
        <v>71500000</v>
      </c>
      <c r="G185" s="1">
        <v>34200000</v>
      </c>
      <c r="H185" s="1">
        <v>62300000</v>
      </c>
      <c r="I185" s="1">
        <v>223000000</v>
      </c>
      <c r="J185" s="1">
        <v>37500000</v>
      </c>
      <c r="K185" s="1">
        <v>6430000000</v>
      </c>
      <c r="L185" s="1">
        <v>0</v>
      </c>
      <c r="M185" s="1">
        <v>0</v>
      </c>
      <c r="N185" s="1">
        <v>6930000000</v>
      </c>
    </row>
    <row r="186" spans="1:14" x14ac:dyDescent="0.2">
      <c r="A186" t="s">
        <v>198</v>
      </c>
      <c r="B186" s="1">
        <v>56000000</v>
      </c>
      <c r="C186" s="1">
        <v>0</v>
      </c>
      <c r="D186" s="1">
        <v>0</v>
      </c>
      <c r="E186" s="1">
        <v>0</v>
      </c>
      <c r="F186" s="1">
        <v>0</v>
      </c>
      <c r="G186" s="1">
        <v>22200000</v>
      </c>
      <c r="H186" s="1">
        <v>37300000</v>
      </c>
      <c r="I186" s="1">
        <v>109000000</v>
      </c>
      <c r="J186" s="1">
        <v>219000</v>
      </c>
      <c r="K186" s="1">
        <v>3630000000</v>
      </c>
      <c r="L186" s="1">
        <v>0</v>
      </c>
      <c r="M186" s="1">
        <v>0</v>
      </c>
      <c r="N186" s="1">
        <v>3860000000</v>
      </c>
    </row>
    <row r="187" spans="1:14" x14ac:dyDescent="0.2">
      <c r="A187" t="s">
        <v>199</v>
      </c>
      <c r="B187" s="1">
        <v>0</v>
      </c>
      <c r="C187" s="1">
        <v>16400000</v>
      </c>
      <c r="D187" s="1">
        <v>0</v>
      </c>
      <c r="E187" s="1">
        <v>0</v>
      </c>
      <c r="F187" s="1">
        <v>299000000</v>
      </c>
      <c r="G187" s="1">
        <v>6080000</v>
      </c>
      <c r="H187" s="1">
        <v>4470000</v>
      </c>
      <c r="I187" s="1">
        <v>122000000</v>
      </c>
      <c r="J187" s="1">
        <v>102000000</v>
      </c>
      <c r="K187" s="1">
        <v>1080000000</v>
      </c>
      <c r="L187" s="1">
        <v>3830000</v>
      </c>
      <c r="M187" s="1">
        <v>380000000</v>
      </c>
      <c r="N187" s="1">
        <v>2010000000</v>
      </c>
    </row>
    <row r="188" spans="1:14" x14ac:dyDescent="0.2">
      <c r="A188" t="s">
        <v>200</v>
      </c>
      <c r="B188" s="1">
        <v>0</v>
      </c>
      <c r="C188" s="1">
        <v>17700000</v>
      </c>
      <c r="D188" s="1">
        <v>0</v>
      </c>
      <c r="E188" s="1">
        <v>0</v>
      </c>
      <c r="F188" s="1">
        <v>432000000</v>
      </c>
      <c r="G188" s="1">
        <v>9900000</v>
      </c>
      <c r="H188" s="1">
        <v>9070000</v>
      </c>
      <c r="I188" s="1">
        <v>106000000</v>
      </c>
      <c r="J188" s="1">
        <v>159000000</v>
      </c>
      <c r="K188" s="1">
        <v>2370000000</v>
      </c>
      <c r="L188" s="1">
        <v>17500000</v>
      </c>
      <c r="M188" s="1">
        <v>404000000</v>
      </c>
      <c r="N188" s="1">
        <v>3530000000</v>
      </c>
    </row>
    <row r="189" spans="1:14" x14ac:dyDescent="0.2">
      <c r="A189" t="s">
        <v>201</v>
      </c>
      <c r="B189" s="1">
        <v>0</v>
      </c>
      <c r="C189" s="1">
        <v>46300000</v>
      </c>
      <c r="D189" s="1">
        <v>0</v>
      </c>
      <c r="E189" s="1">
        <v>0</v>
      </c>
      <c r="F189" s="1">
        <v>350000000</v>
      </c>
      <c r="G189" s="1">
        <v>8300000</v>
      </c>
      <c r="H189" s="1">
        <v>6870000</v>
      </c>
      <c r="I189" s="1">
        <v>6450000</v>
      </c>
      <c r="J189" s="1">
        <v>33500000</v>
      </c>
      <c r="K189" s="1">
        <v>1700000000</v>
      </c>
      <c r="L189" s="1">
        <v>11600000</v>
      </c>
      <c r="M189" s="1">
        <v>602000000</v>
      </c>
      <c r="N189" s="1">
        <v>2770000000</v>
      </c>
    </row>
    <row r="190" spans="1:14" x14ac:dyDescent="0.2">
      <c r="A190" t="s">
        <v>202</v>
      </c>
      <c r="B190" s="1">
        <v>81300000</v>
      </c>
      <c r="C190" s="1">
        <v>0</v>
      </c>
      <c r="D190" s="1">
        <v>0</v>
      </c>
      <c r="E190" s="1">
        <v>0</v>
      </c>
      <c r="F190" s="1">
        <v>605000000</v>
      </c>
      <c r="G190" s="1">
        <v>25000000</v>
      </c>
      <c r="H190" s="1">
        <v>27500000</v>
      </c>
      <c r="I190" s="1">
        <v>18700000</v>
      </c>
      <c r="J190" s="1">
        <v>40300000</v>
      </c>
      <c r="K190" s="1">
        <v>2980000000</v>
      </c>
      <c r="L190" s="1">
        <v>0</v>
      </c>
      <c r="M190" s="1">
        <v>760000000</v>
      </c>
      <c r="N190" s="1">
        <v>4530000000</v>
      </c>
    </row>
    <row r="191" spans="1:14" x14ac:dyDescent="0.2">
      <c r="A191" t="s">
        <v>203</v>
      </c>
      <c r="B191" s="1">
        <v>440000000</v>
      </c>
      <c r="C191" s="1">
        <v>0</v>
      </c>
      <c r="D191" s="1">
        <v>0</v>
      </c>
      <c r="E191" s="1">
        <v>0</v>
      </c>
      <c r="F191" s="1">
        <v>438000000</v>
      </c>
      <c r="G191" s="1">
        <v>19300000</v>
      </c>
      <c r="H191" s="1">
        <v>19300000</v>
      </c>
      <c r="I191" s="1">
        <v>3570000</v>
      </c>
      <c r="J191" s="1">
        <v>10300000</v>
      </c>
      <c r="K191" s="1">
        <v>1990000000</v>
      </c>
      <c r="L191" s="1">
        <v>0</v>
      </c>
      <c r="M191" s="1">
        <v>518000000</v>
      </c>
      <c r="N191" s="1">
        <v>3440000000</v>
      </c>
    </row>
    <row r="192" spans="1:14" x14ac:dyDescent="0.2">
      <c r="A192" t="s">
        <v>204</v>
      </c>
      <c r="B192" s="1">
        <v>53500000</v>
      </c>
      <c r="C192" s="1">
        <v>0</v>
      </c>
      <c r="D192" s="1">
        <v>0</v>
      </c>
      <c r="E192" s="1">
        <v>0</v>
      </c>
      <c r="F192" s="1">
        <v>456000000</v>
      </c>
      <c r="G192" s="1">
        <v>18600000</v>
      </c>
      <c r="H192" s="1">
        <v>29200000</v>
      </c>
      <c r="I192" s="1">
        <v>0</v>
      </c>
      <c r="J192" s="1">
        <v>17200000</v>
      </c>
      <c r="K192" s="1">
        <v>3070000000</v>
      </c>
      <c r="L192" s="1">
        <v>0</v>
      </c>
      <c r="M192" s="1">
        <v>496000000</v>
      </c>
      <c r="N192" s="1">
        <v>4140000000</v>
      </c>
    </row>
    <row r="193" spans="1:14" x14ac:dyDescent="0.2">
      <c r="A193" t="s">
        <v>205</v>
      </c>
      <c r="B193" s="1">
        <v>68800000</v>
      </c>
      <c r="C193" s="1">
        <v>0</v>
      </c>
      <c r="D193" s="1">
        <v>0</v>
      </c>
      <c r="E193" s="1">
        <v>0</v>
      </c>
      <c r="F193" s="1">
        <v>655000000</v>
      </c>
      <c r="G193" s="1">
        <v>27400000</v>
      </c>
      <c r="H193" s="1">
        <v>21000000</v>
      </c>
      <c r="I193" s="1">
        <v>0</v>
      </c>
      <c r="J193" s="1">
        <v>18300000</v>
      </c>
      <c r="K193" s="1">
        <v>4170000000</v>
      </c>
      <c r="L193" s="1">
        <v>0</v>
      </c>
      <c r="M193" s="1">
        <v>756000000</v>
      </c>
      <c r="N193" s="1">
        <v>5710000000</v>
      </c>
    </row>
    <row r="194" spans="1:14" x14ac:dyDescent="0.2">
      <c r="A194" t="s">
        <v>206</v>
      </c>
      <c r="B194" s="1">
        <v>56300000</v>
      </c>
      <c r="C194" s="1">
        <v>0</v>
      </c>
      <c r="D194" s="1">
        <v>0</v>
      </c>
      <c r="E194" s="1">
        <v>0</v>
      </c>
      <c r="F194" s="1">
        <v>466000000</v>
      </c>
      <c r="G194" s="1">
        <v>18900000</v>
      </c>
      <c r="H194" s="1">
        <v>24700000</v>
      </c>
      <c r="I194" s="1">
        <v>0</v>
      </c>
      <c r="J194" s="1">
        <v>15700000</v>
      </c>
      <c r="K194" s="1">
        <v>2700000000</v>
      </c>
      <c r="L194" s="1">
        <v>0</v>
      </c>
      <c r="M194" s="1">
        <v>740000000</v>
      </c>
      <c r="N194" s="1">
        <v>4020000000</v>
      </c>
    </row>
    <row r="195" spans="1:14" x14ac:dyDescent="0.2">
      <c r="A195" t="s">
        <v>207</v>
      </c>
      <c r="B195" s="1">
        <v>138000000</v>
      </c>
      <c r="C195" s="1">
        <v>0</v>
      </c>
      <c r="D195" s="1">
        <v>0</v>
      </c>
      <c r="E195" s="1">
        <v>0</v>
      </c>
      <c r="F195" s="1">
        <v>605000000</v>
      </c>
      <c r="G195" s="1">
        <v>26400000</v>
      </c>
      <c r="H195" s="1">
        <v>16000000</v>
      </c>
      <c r="I195" s="1">
        <v>0</v>
      </c>
      <c r="J195" s="1">
        <v>52000000</v>
      </c>
      <c r="K195" s="1">
        <v>3870000000</v>
      </c>
      <c r="L195" s="1">
        <v>0</v>
      </c>
      <c r="M195" s="1">
        <v>770000000</v>
      </c>
      <c r="N195" s="1">
        <v>5470000000</v>
      </c>
    </row>
    <row r="196" spans="1:14" x14ac:dyDescent="0.2">
      <c r="A196" t="s">
        <v>208</v>
      </c>
      <c r="B196" s="1">
        <v>110000000</v>
      </c>
      <c r="C196" s="1">
        <v>0</v>
      </c>
      <c r="D196" s="1">
        <v>0</v>
      </c>
      <c r="E196" s="1">
        <v>0</v>
      </c>
      <c r="F196" s="1">
        <v>535000000</v>
      </c>
      <c r="G196" s="1">
        <v>25400000</v>
      </c>
      <c r="H196" s="1">
        <v>19400000</v>
      </c>
      <c r="I196" s="1">
        <v>0</v>
      </c>
      <c r="J196" s="1">
        <v>18200000</v>
      </c>
      <c r="K196" s="1">
        <v>3150000000</v>
      </c>
      <c r="L196" s="1">
        <v>0</v>
      </c>
      <c r="M196" s="1">
        <v>574000000</v>
      </c>
      <c r="N196" s="1">
        <v>4440000000</v>
      </c>
    </row>
    <row r="197" spans="1:14" x14ac:dyDescent="0.2">
      <c r="A197" t="s">
        <v>209</v>
      </c>
      <c r="B197" s="1">
        <v>51500000</v>
      </c>
      <c r="C197" s="1">
        <v>0</v>
      </c>
      <c r="D197" s="1">
        <v>0</v>
      </c>
      <c r="E197" s="1">
        <v>0</v>
      </c>
      <c r="F197" s="1">
        <v>129000000</v>
      </c>
      <c r="G197" s="1">
        <v>8900000</v>
      </c>
      <c r="H197" s="1">
        <v>4670000</v>
      </c>
      <c r="I197" s="1">
        <v>468000</v>
      </c>
      <c r="J197" s="1">
        <v>5900000</v>
      </c>
      <c r="K197" s="1">
        <v>693000000</v>
      </c>
      <c r="L197" s="1">
        <v>0</v>
      </c>
      <c r="M197" s="1">
        <v>166000000</v>
      </c>
      <c r="N197" s="1">
        <v>1060000000</v>
      </c>
    </row>
    <row r="198" spans="1:14" x14ac:dyDescent="0.2">
      <c r="A198" t="s">
        <v>210</v>
      </c>
      <c r="B198" s="1">
        <v>84800000</v>
      </c>
      <c r="C198" s="1">
        <v>0</v>
      </c>
      <c r="D198" s="1">
        <v>0</v>
      </c>
      <c r="E198" s="1">
        <v>0</v>
      </c>
      <c r="F198" s="1">
        <v>520000000</v>
      </c>
      <c r="G198" s="1">
        <v>20400000</v>
      </c>
      <c r="H198" s="1">
        <v>12600000</v>
      </c>
      <c r="I198" s="1">
        <v>0</v>
      </c>
      <c r="J198" s="1">
        <v>18500000</v>
      </c>
      <c r="K198" s="1">
        <v>3070000000</v>
      </c>
      <c r="L198" s="1">
        <v>0</v>
      </c>
      <c r="M198" s="1">
        <v>424000000</v>
      </c>
      <c r="N198" s="1">
        <v>4150000000</v>
      </c>
    </row>
    <row r="199" spans="1:14" x14ac:dyDescent="0.2">
      <c r="A199" t="s">
        <v>211</v>
      </c>
      <c r="B199" s="1">
        <v>100000000</v>
      </c>
      <c r="C199" s="1">
        <v>0</v>
      </c>
      <c r="D199" s="1">
        <v>0</v>
      </c>
      <c r="E199" s="1">
        <v>0</v>
      </c>
      <c r="F199" s="1">
        <v>0</v>
      </c>
      <c r="G199" s="1">
        <v>36600000</v>
      </c>
      <c r="H199" s="1">
        <v>63700000</v>
      </c>
      <c r="I199" s="1">
        <v>202000000</v>
      </c>
      <c r="J199" s="1">
        <v>56000000</v>
      </c>
      <c r="K199" s="1">
        <v>4600000000</v>
      </c>
      <c r="L199" s="1">
        <v>0</v>
      </c>
      <c r="M199" s="1">
        <v>422000000</v>
      </c>
      <c r="N199" s="1">
        <v>5480000000</v>
      </c>
    </row>
    <row r="200" spans="1:14" x14ac:dyDescent="0.2">
      <c r="A200" t="s">
        <v>212</v>
      </c>
      <c r="B200" s="1">
        <v>60300000</v>
      </c>
      <c r="C200" s="1">
        <v>0</v>
      </c>
      <c r="D200" s="1">
        <v>0</v>
      </c>
      <c r="E200" s="1">
        <v>0</v>
      </c>
      <c r="F200" s="1">
        <v>0</v>
      </c>
      <c r="G200" s="1">
        <v>41200000</v>
      </c>
      <c r="H200" s="1">
        <v>92000000</v>
      </c>
      <c r="I200" s="1">
        <v>75300000</v>
      </c>
      <c r="J200" s="1">
        <v>69000000</v>
      </c>
      <c r="K200" s="1">
        <v>2820000000</v>
      </c>
      <c r="L200" s="1">
        <v>0</v>
      </c>
      <c r="M200" s="1">
        <v>402000000</v>
      </c>
      <c r="N200" s="1">
        <v>3560000000</v>
      </c>
    </row>
    <row r="201" spans="1:14" x14ac:dyDescent="0.2">
      <c r="A201" t="s">
        <v>213</v>
      </c>
      <c r="B201" s="1">
        <v>85800000</v>
      </c>
      <c r="C201" s="1">
        <v>0</v>
      </c>
      <c r="D201" s="1">
        <v>0</v>
      </c>
      <c r="E201" s="1">
        <v>0</v>
      </c>
      <c r="F201" s="1">
        <v>277000000</v>
      </c>
      <c r="G201" s="1">
        <v>0</v>
      </c>
      <c r="H201" s="1">
        <v>21400000</v>
      </c>
      <c r="I201" s="1">
        <v>75200000</v>
      </c>
      <c r="J201" s="1">
        <v>14200000</v>
      </c>
      <c r="K201" s="1">
        <v>2630000000</v>
      </c>
      <c r="L201" s="1">
        <v>0</v>
      </c>
      <c r="M201" s="1">
        <v>314000000</v>
      </c>
      <c r="N201" s="1">
        <v>3420000000</v>
      </c>
    </row>
    <row r="202" spans="1:14" x14ac:dyDescent="0.2">
      <c r="A202" t="s">
        <v>214</v>
      </c>
      <c r="B202" s="1">
        <v>8800000</v>
      </c>
      <c r="C202" s="1">
        <v>0</v>
      </c>
      <c r="D202" s="1">
        <v>0</v>
      </c>
      <c r="E202" s="1">
        <v>0</v>
      </c>
      <c r="F202" s="1">
        <v>190000000</v>
      </c>
      <c r="G202" s="1">
        <v>0</v>
      </c>
      <c r="H202" s="1">
        <v>16100000</v>
      </c>
      <c r="I202" s="1">
        <v>41800000</v>
      </c>
      <c r="J202" s="1">
        <v>4280000</v>
      </c>
      <c r="K202" s="1">
        <v>1690000000</v>
      </c>
      <c r="L202" s="1">
        <v>0</v>
      </c>
      <c r="M202" s="1">
        <v>155000000</v>
      </c>
      <c r="N202" s="1">
        <v>2110000000</v>
      </c>
    </row>
    <row r="203" spans="1:14" x14ac:dyDescent="0.2">
      <c r="A203" t="s">
        <v>215</v>
      </c>
      <c r="B203" s="1">
        <v>22600000</v>
      </c>
      <c r="C203" s="1">
        <v>0</v>
      </c>
      <c r="D203" s="1">
        <v>0</v>
      </c>
      <c r="E203" s="1">
        <v>0</v>
      </c>
      <c r="F203" s="1">
        <v>136000000</v>
      </c>
      <c r="G203" s="1">
        <v>0</v>
      </c>
      <c r="H203" s="1">
        <v>10100000</v>
      </c>
      <c r="I203" s="1">
        <v>11800000</v>
      </c>
      <c r="J203" s="1">
        <v>5000000</v>
      </c>
      <c r="K203" s="1">
        <v>1100000000</v>
      </c>
      <c r="L203" s="1">
        <v>0</v>
      </c>
      <c r="M203" s="1">
        <v>143000000</v>
      </c>
      <c r="N203" s="1">
        <v>1430000000</v>
      </c>
    </row>
    <row r="204" spans="1:14" x14ac:dyDescent="0.2">
      <c r="A204" t="s">
        <v>216</v>
      </c>
      <c r="B204" s="1">
        <v>24200000</v>
      </c>
      <c r="C204" s="1">
        <v>0</v>
      </c>
      <c r="D204" s="1">
        <v>0</v>
      </c>
      <c r="E204" s="1">
        <v>0</v>
      </c>
      <c r="F204" s="1">
        <v>243000000</v>
      </c>
      <c r="G204" s="1">
        <v>16900000</v>
      </c>
      <c r="H204" s="1">
        <v>0</v>
      </c>
      <c r="I204" s="1">
        <v>106000000</v>
      </c>
      <c r="J204" s="1">
        <v>9180000</v>
      </c>
      <c r="K204" s="1">
        <v>2130000000</v>
      </c>
      <c r="L204" s="1">
        <v>0</v>
      </c>
      <c r="M204" s="1">
        <v>159000000</v>
      </c>
      <c r="N204" s="1">
        <v>2690000000</v>
      </c>
    </row>
    <row r="205" spans="1:14" x14ac:dyDescent="0.2">
      <c r="A205" t="s">
        <v>217</v>
      </c>
      <c r="B205" s="1">
        <v>21400000</v>
      </c>
      <c r="C205" s="1">
        <v>0</v>
      </c>
      <c r="D205" s="1">
        <v>0</v>
      </c>
      <c r="E205" s="1">
        <v>0</v>
      </c>
      <c r="F205" s="1">
        <v>219000000</v>
      </c>
      <c r="G205" s="1">
        <v>11900000</v>
      </c>
      <c r="H205" s="1">
        <v>0</v>
      </c>
      <c r="I205" s="1">
        <v>22700000</v>
      </c>
      <c r="J205" s="1">
        <v>6230000</v>
      </c>
      <c r="K205" s="1">
        <v>1560000000</v>
      </c>
      <c r="L205" s="1">
        <v>0</v>
      </c>
      <c r="M205" s="1">
        <v>173000000</v>
      </c>
      <c r="N205" s="1">
        <v>2010000000</v>
      </c>
    </row>
    <row r="206" spans="1:14" x14ac:dyDescent="0.2">
      <c r="A206" t="s">
        <v>218</v>
      </c>
      <c r="B206" s="1">
        <v>34300000</v>
      </c>
      <c r="C206" s="1">
        <v>0</v>
      </c>
      <c r="D206" s="1">
        <v>0</v>
      </c>
      <c r="E206" s="1">
        <v>0</v>
      </c>
      <c r="F206" s="1">
        <v>228000000</v>
      </c>
      <c r="G206" s="1">
        <v>16300000</v>
      </c>
      <c r="H206" s="1">
        <v>0</v>
      </c>
      <c r="I206" s="1">
        <v>63700000</v>
      </c>
      <c r="J206" s="1">
        <v>11600000</v>
      </c>
      <c r="K206" s="1">
        <v>2170000000</v>
      </c>
      <c r="L206" s="1">
        <v>0</v>
      </c>
      <c r="M206" s="1">
        <v>160000000</v>
      </c>
      <c r="N206" s="1">
        <v>2680000000</v>
      </c>
    </row>
    <row r="207" spans="1:14" x14ac:dyDescent="0.2">
      <c r="A207" t="s">
        <v>219</v>
      </c>
      <c r="B207" s="1">
        <v>49500000</v>
      </c>
      <c r="C207" s="1">
        <v>0</v>
      </c>
      <c r="D207" s="1">
        <v>0</v>
      </c>
      <c r="E207" s="1">
        <v>0</v>
      </c>
      <c r="F207" s="1">
        <v>505000000</v>
      </c>
      <c r="G207" s="1">
        <v>21000000</v>
      </c>
      <c r="H207" s="1">
        <v>14400000</v>
      </c>
      <c r="I207" s="1">
        <v>0</v>
      </c>
      <c r="J207" s="1">
        <v>13300000</v>
      </c>
      <c r="K207" s="1">
        <v>3600000000</v>
      </c>
      <c r="L207" s="1">
        <v>0</v>
      </c>
      <c r="M207" s="1">
        <v>254000000</v>
      </c>
      <c r="N207" s="1">
        <v>4460000000</v>
      </c>
    </row>
    <row r="208" spans="1:14" x14ac:dyDescent="0.2">
      <c r="A208" t="s">
        <v>220</v>
      </c>
      <c r="B208" s="1">
        <v>6830000</v>
      </c>
      <c r="C208" s="1">
        <v>0</v>
      </c>
      <c r="D208" s="1">
        <v>0</v>
      </c>
      <c r="E208" s="1">
        <v>0</v>
      </c>
      <c r="F208" s="1">
        <v>124000000</v>
      </c>
      <c r="G208" s="1">
        <v>7660000</v>
      </c>
      <c r="H208" s="1">
        <v>4400000</v>
      </c>
      <c r="I208" s="1">
        <v>0</v>
      </c>
      <c r="J208" s="1">
        <v>3230000</v>
      </c>
      <c r="K208" s="1">
        <v>793000000</v>
      </c>
      <c r="L208" s="1">
        <v>0</v>
      </c>
      <c r="M208" s="1">
        <v>70800000</v>
      </c>
      <c r="N208" s="1">
        <v>1010000000</v>
      </c>
    </row>
    <row r="209" spans="1:14" x14ac:dyDescent="0.2">
      <c r="A209" t="s">
        <v>221</v>
      </c>
      <c r="B209" s="1">
        <v>31800000</v>
      </c>
      <c r="C209" s="1">
        <v>0</v>
      </c>
      <c r="D209" s="1">
        <v>0</v>
      </c>
      <c r="E209" s="1">
        <v>0</v>
      </c>
      <c r="F209" s="1">
        <v>348000000</v>
      </c>
      <c r="G209" s="1">
        <v>16000000</v>
      </c>
      <c r="H209" s="1">
        <v>21100000</v>
      </c>
      <c r="I209" s="1">
        <v>0</v>
      </c>
      <c r="J209" s="1">
        <v>16700000</v>
      </c>
      <c r="K209" s="1">
        <v>2270000000</v>
      </c>
      <c r="L209" s="1">
        <v>0</v>
      </c>
      <c r="M209" s="1">
        <v>360000000</v>
      </c>
      <c r="N209" s="1">
        <v>3070000000</v>
      </c>
    </row>
    <row r="210" spans="1:14" x14ac:dyDescent="0.2">
      <c r="A210" t="s">
        <v>222</v>
      </c>
      <c r="B210" s="1">
        <v>71800000</v>
      </c>
      <c r="C210" s="1">
        <v>0</v>
      </c>
      <c r="D210" s="1">
        <v>0</v>
      </c>
      <c r="E210" s="1">
        <v>0</v>
      </c>
      <c r="F210" s="1">
        <v>396000000</v>
      </c>
      <c r="G210" s="1">
        <v>28800000</v>
      </c>
      <c r="H210" s="1">
        <v>14700000</v>
      </c>
      <c r="I210" s="1">
        <v>1730000</v>
      </c>
      <c r="J210" s="1">
        <v>0</v>
      </c>
      <c r="K210" s="1">
        <v>4130000000</v>
      </c>
      <c r="L210" s="1">
        <v>0</v>
      </c>
      <c r="M210" s="1">
        <v>420000000</v>
      </c>
      <c r="N210" s="1">
        <v>5070000000</v>
      </c>
    </row>
    <row r="211" spans="1:14" x14ac:dyDescent="0.2">
      <c r="A211" t="s">
        <v>223</v>
      </c>
      <c r="B211" s="1">
        <v>109000000</v>
      </c>
      <c r="C211" s="1">
        <v>0</v>
      </c>
      <c r="D211" s="1">
        <v>0</v>
      </c>
      <c r="E211" s="1">
        <v>0</v>
      </c>
      <c r="F211" s="1">
        <v>457000000</v>
      </c>
      <c r="G211" s="1">
        <v>29800000</v>
      </c>
      <c r="H211" s="1">
        <v>15600000</v>
      </c>
      <c r="I211" s="1">
        <v>618000</v>
      </c>
      <c r="J211" s="1">
        <v>0</v>
      </c>
      <c r="K211" s="1">
        <v>4070000000</v>
      </c>
      <c r="L211" s="1">
        <v>0</v>
      </c>
      <c r="M211" s="1">
        <v>514000000</v>
      </c>
      <c r="N211" s="1">
        <v>5190000000</v>
      </c>
    </row>
    <row r="212" spans="1:14" x14ac:dyDescent="0.2">
      <c r="A212" t="s">
        <v>224</v>
      </c>
      <c r="B212" s="1">
        <v>114000000</v>
      </c>
      <c r="C212" s="1">
        <v>0</v>
      </c>
      <c r="D212" s="1">
        <v>0</v>
      </c>
      <c r="E212" s="1">
        <v>0</v>
      </c>
      <c r="F212" s="1">
        <v>330000000</v>
      </c>
      <c r="G212" s="1">
        <v>19100000</v>
      </c>
      <c r="H212" s="1">
        <v>12500000</v>
      </c>
      <c r="I212" s="1">
        <v>0</v>
      </c>
      <c r="J212" s="1">
        <v>0</v>
      </c>
      <c r="K212" s="1">
        <v>3080000000</v>
      </c>
      <c r="L212" s="1">
        <v>0</v>
      </c>
      <c r="M212" s="1">
        <v>492000000</v>
      </c>
      <c r="N212" s="1">
        <v>4050000000</v>
      </c>
    </row>
    <row r="213" spans="1:14" x14ac:dyDescent="0.2">
      <c r="A213" t="s">
        <v>225</v>
      </c>
      <c r="B213" s="1">
        <v>116000000</v>
      </c>
      <c r="C213" s="1">
        <v>0</v>
      </c>
      <c r="D213" s="1">
        <v>0</v>
      </c>
      <c r="E213" s="1">
        <v>408000000</v>
      </c>
      <c r="F213" s="1">
        <v>915000000</v>
      </c>
      <c r="G213" s="1">
        <v>61200000</v>
      </c>
      <c r="H213" s="1">
        <v>95000000</v>
      </c>
      <c r="I213" s="1">
        <v>143000000</v>
      </c>
      <c r="J213" s="1">
        <v>79000000</v>
      </c>
      <c r="K213" s="1">
        <v>0</v>
      </c>
      <c r="L213" s="1">
        <v>0</v>
      </c>
      <c r="M213" s="1">
        <v>2200000000</v>
      </c>
      <c r="N213" s="1">
        <v>4020000000</v>
      </c>
    </row>
    <row r="214" spans="1:14" x14ac:dyDescent="0.2">
      <c r="A214" t="s">
        <v>226</v>
      </c>
      <c r="B214" s="1">
        <v>46300000</v>
      </c>
      <c r="C214" s="1">
        <v>0</v>
      </c>
      <c r="D214" s="1">
        <v>0</v>
      </c>
      <c r="E214" s="1">
        <v>226000000</v>
      </c>
      <c r="F214" s="1">
        <v>429000000</v>
      </c>
      <c r="G214" s="1">
        <v>33000000</v>
      </c>
      <c r="H214" s="1">
        <v>53300000</v>
      </c>
      <c r="I214" s="1">
        <v>81500000</v>
      </c>
      <c r="J214" s="1">
        <v>43000000</v>
      </c>
      <c r="K214" s="1">
        <v>0</v>
      </c>
      <c r="L214" s="1">
        <v>0</v>
      </c>
      <c r="M214" s="1">
        <v>930000000</v>
      </c>
      <c r="N214" s="1">
        <v>1840000000</v>
      </c>
    </row>
    <row r="215" spans="1:14" x14ac:dyDescent="0.2">
      <c r="A215" t="s">
        <v>227</v>
      </c>
      <c r="B215" s="1">
        <v>175000000</v>
      </c>
      <c r="C215" s="1">
        <v>0</v>
      </c>
      <c r="D215" s="1">
        <v>0</v>
      </c>
      <c r="E215" s="1">
        <v>303000000</v>
      </c>
      <c r="F215" s="1">
        <v>640000000</v>
      </c>
      <c r="G215" s="1">
        <v>43200000</v>
      </c>
      <c r="H215" s="1">
        <v>80700000</v>
      </c>
      <c r="I215" s="1">
        <v>124000000</v>
      </c>
      <c r="J215" s="1">
        <v>78500000</v>
      </c>
      <c r="K215" s="1">
        <v>0</v>
      </c>
      <c r="L215" s="1">
        <v>0</v>
      </c>
      <c r="M215" s="1">
        <v>1240000000</v>
      </c>
      <c r="N215" s="1">
        <v>2680000000</v>
      </c>
    </row>
    <row r="216" spans="1:14" x14ac:dyDescent="0.2">
      <c r="A216" t="s">
        <v>228</v>
      </c>
      <c r="B216" s="1">
        <v>18300000</v>
      </c>
      <c r="C216" s="1">
        <v>0</v>
      </c>
      <c r="D216" s="1">
        <v>0</v>
      </c>
      <c r="E216" s="1">
        <v>0</v>
      </c>
      <c r="F216" s="1">
        <v>198000000</v>
      </c>
      <c r="G216" s="1">
        <v>17200000</v>
      </c>
      <c r="H216" s="1">
        <v>7100000</v>
      </c>
      <c r="I216" s="1">
        <v>482000</v>
      </c>
      <c r="J216" s="1">
        <v>0</v>
      </c>
      <c r="K216" s="1">
        <v>1580000000</v>
      </c>
      <c r="L216" s="1">
        <v>0</v>
      </c>
      <c r="M216" s="1">
        <v>156000000</v>
      </c>
      <c r="N216" s="1">
        <v>1980000000</v>
      </c>
    </row>
    <row r="217" spans="1:14" x14ac:dyDescent="0.2">
      <c r="A217" t="s">
        <v>229</v>
      </c>
      <c r="B217" s="1">
        <v>48500000</v>
      </c>
      <c r="C217" s="1">
        <v>0</v>
      </c>
      <c r="D217" s="1">
        <v>0</v>
      </c>
      <c r="E217" s="1">
        <v>0</v>
      </c>
      <c r="F217" s="1">
        <v>348000000</v>
      </c>
      <c r="G217" s="1">
        <v>18500000</v>
      </c>
      <c r="H217" s="1">
        <v>17700000</v>
      </c>
      <c r="I217" s="1">
        <v>653000</v>
      </c>
      <c r="J217" s="1">
        <v>2190000</v>
      </c>
      <c r="K217" s="1">
        <v>2840000000</v>
      </c>
      <c r="L217" s="1">
        <v>0</v>
      </c>
      <c r="M217" s="1">
        <v>204000000</v>
      </c>
      <c r="N217" s="1">
        <v>3480000000</v>
      </c>
    </row>
    <row r="218" spans="1:14" x14ac:dyDescent="0.2">
      <c r="A218" t="s">
        <v>230</v>
      </c>
      <c r="B218" s="1">
        <v>105000000</v>
      </c>
      <c r="C218" s="1">
        <v>0</v>
      </c>
      <c r="D218" s="1">
        <v>0</v>
      </c>
      <c r="E218" s="1">
        <v>0</v>
      </c>
      <c r="F218" s="1">
        <v>360000000</v>
      </c>
      <c r="G218" s="1">
        <v>20600000</v>
      </c>
      <c r="H218" s="1">
        <v>14500000</v>
      </c>
      <c r="I218" s="1">
        <v>1160000</v>
      </c>
      <c r="J218" s="1">
        <v>210000</v>
      </c>
      <c r="K218" s="1">
        <v>2780000000</v>
      </c>
      <c r="L218" s="1">
        <v>0</v>
      </c>
      <c r="M218" s="1">
        <v>380000000</v>
      </c>
      <c r="N218" s="1">
        <v>3660000000</v>
      </c>
    </row>
    <row r="219" spans="1:14" x14ac:dyDescent="0.2">
      <c r="A219" t="s">
        <v>231</v>
      </c>
      <c r="B219" s="1">
        <v>94000000</v>
      </c>
      <c r="C219" s="1">
        <v>0</v>
      </c>
      <c r="D219" s="1">
        <v>0</v>
      </c>
      <c r="E219" s="1">
        <v>0</v>
      </c>
      <c r="F219" s="1">
        <v>2550000</v>
      </c>
      <c r="G219" s="1">
        <v>37000000</v>
      </c>
      <c r="H219" s="1">
        <v>22800000</v>
      </c>
      <c r="I219" s="1">
        <v>15100000</v>
      </c>
      <c r="J219" s="1">
        <v>22600000</v>
      </c>
      <c r="K219" s="1">
        <v>2200000000</v>
      </c>
      <c r="L219" s="1">
        <v>0</v>
      </c>
      <c r="M219" s="1">
        <v>0</v>
      </c>
      <c r="N219" s="1">
        <v>2390000000</v>
      </c>
    </row>
    <row r="220" spans="1:14" x14ac:dyDescent="0.2">
      <c r="A220" t="s">
        <v>232</v>
      </c>
      <c r="B220" s="1">
        <v>168000000</v>
      </c>
      <c r="C220" s="1">
        <v>0</v>
      </c>
      <c r="D220" s="1">
        <v>0</v>
      </c>
      <c r="E220" s="1">
        <v>0</v>
      </c>
      <c r="F220" s="1">
        <v>0</v>
      </c>
      <c r="G220" s="1">
        <v>40000000</v>
      </c>
      <c r="H220" s="1">
        <v>21500000</v>
      </c>
      <c r="I220" s="1">
        <v>20500000</v>
      </c>
      <c r="J220" s="1">
        <v>820000</v>
      </c>
      <c r="K220" s="1">
        <v>2450000000</v>
      </c>
      <c r="L220" s="1">
        <v>0</v>
      </c>
      <c r="M220" s="1">
        <v>0</v>
      </c>
      <c r="N220" s="1">
        <v>2700000000</v>
      </c>
    </row>
    <row r="221" spans="1:14" x14ac:dyDescent="0.2">
      <c r="A221" t="s">
        <v>233</v>
      </c>
      <c r="B221" s="1">
        <v>48800000</v>
      </c>
      <c r="C221" s="1">
        <v>0</v>
      </c>
      <c r="D221" s="1">
        <v>0</v>
      </c>
      <c r="E221" s="1">
        <v>0</v>
      </c>
      <c r="F221" s="1">
        <v>355000000</v>
      </c>
      <c r="G221" s="1">
        <v>13400000</v>
      </c>
      <c r="H221" s="1">
        <v>15800000</v>
      </c>
      <c r="I221" s="1">
        <v>0</v>
      </c>
      <c r="J221" s="1">
        <v>12100000</v>
      </c>
      <c r="K221" s="1">
        <v>2440000000</v>
      </c>
      <c r="L221" s="1">
        <v>0</v>
      </c>
      <c r="M221" s="1">
        <v>506000000</v>
      </c>
      <c r="N221" s="1">
        <v>3390000000</v>
      </c>
    </row>
    <row r="222" spans="1:14" x14ac:dyDescent="0.2">
      <c r="A222" t="s">
        <v>234</v>
      </c>
      <c r="B222" s="1">
        <v>32300000</v>
      </c>
      <c r="C222" s="1">
        <v>0</v>
      </c>
      <c r="D222" s="1">
        <v>0</v>
      </c>
      <c r="E222" s="1">
        <v>0</v>
      </c>
      <c r="F222" s="1">
        <v>391000000</v>
      </c>
      <c r="G222" s="1">
        <v>14300000</v>
      </c>
      <c r="H222" s="1">
        <v>22100000</v>
      </c>
      <c r="I222" s="1">
        <v>0</v>
      </c>
      <c r="J222" s="1">
        <v>16800000</v>
      </c>
      <c r="K222" s="1">
        <v>2440000000</v>
      </c>
      <c r="L222" s="1">
        <v>0</v>
      </c>
      <c r="M222" s="1">
        <v>448000000</v>
      </c>
      <c r="N222" s="1">
        <v>3360000000</v>
      </c>
    </row>
    <row r="223" spans="1:14" x14ac:dyDescent="0.2">
      <c r="A223" t="s">
        <v>235</v>
      </c>
      <c r="B223" s="1">
        <v>111000000</v>
      </c>
      <c r="C223" s="1">
        <v>0</v>
      </c>
      <c r="D223" s="1">
        <v>0</v>
      </c>
      <c r="E223" s="1">
        <v>0</v>
      </c>
      <c r="F223" s="1">
        <v>495000000</v>
      </c>
      <c r="G223" s="1">
        <v>16400000</v>
      </c>
      <c r="H223" s="1">
        <v>30500000</v>
      </c>
      <c r="I223" s="1">
        <v>0</v>
      </c>
      <c r="J223" s="1">
        <v>8400000</v>
      </c>
      <c r="K223" s="1">
        <v>3770000000</v>
      </c>
      <c r="L223" s="1">
        <v>0</v>
      </c>
      <c r="M223" s="1">
        <v>670000000</v>
      </c>
      <c r="N223" s="1">
        <v>5100000000</v>
      </c>
    </row>
    <row r="224" spans="1:14" x14ac:dyDescent="0.2">
      <c r="A224" t="s">
        <v>890</v>
      </c>
      <c r="B224" s="1">
        <v>192000000</v>
      </c>
      <c r="C224" s="1">
        <v>0</v>
      </c>
      <c r="D224" s="1">
        <v>0</v>
      </c>
      <c r="E224" s="1">
        <v>0</v>
      </c>
      <c r="F224" s="1">
        <v>1390000000</v>
      </c>
      <c r="G224" s="1">
        <v>58300000</v>
      </c>
      <c r="H224" s="1">
        <v>22400000</v>
      </c>
      <c r="I224" s="1">
        <v>85600000</v>
      </c>
      <c r="J224" s="1">
        <v>1700000</v>
      </c>
      <c r="K224" s="1">
        <v>6580000000</v>
      </c>
      <c r="L224" s="1">
        <v>0</v>
      </c>
      <c r="M224" s="1">
        <v>1720000000</v>
      </c>
      <c r="N224" s="1">
        <v>10050000000</v>
      </c>
    </row>
    <row r="225" spans="1:14" x14ac:dyDescent="0.2">
      <c r="A225" t="s">
        <v>891</v>
      </c>
      <c r="B225" s="1">
        <v>276000000</v>
      </c>
      <c r="C225" s="1">
        <v>0</v>
      </c>
      <c r="D225" s="1">
        <v>0</v>
      </c>
      <c r="E225" s="1">
        <v>0</v>
      </c>
      <c r="F225" s="1">
        <v>1540000000</v>
      </c>
      <c r="G225" s="1">
        <v>72700000</v>
      </c>
      <c r="H225" s="1">
        <v>20900000</v>
      </c>
      <c r="I225" s="1">
        <v>65700000</v>
      </c>
      <c r="J225" s="1">
        <v>10700000</v>
      </c>
      <c r="K225" s="1">
        <v>7340000000</v>
      </c>
      <c r="L225" s="1">
        <v>0</v>
      </c>
      <c r="M225" s="1">
        <v>1600000000</v>
      </c>
      <c r="N225" s="1">
        <v>10926000000</v>
      </c>
    </row>
    <row r="226" spans="1:14" x14ac:dyDescent="0.2">
      <c r="A226" t="s">
        <v>892</v>
      </c>
      <c r="B226" s="1">
        <v>179000000</v>
      </c>
      <c r="C226" s="1">
        <v>0</v>
      </c>
      <c r="D226" s="1">
        <v>0</v>
      </c>
      <c r="E226" s="1">
        <v>0</v>
      </c>
      <c r="F226" s="1">
        <v>1090000000</v>
      </c>
      <c r="G226" s="1">
        <v>52200000</v>
      </c>
      <c r="H226" s="1">
        <v>14600000</v>
      </c>
      <c r="I226" s="1">
        <v>39900000</v>
      </c>
      <c r="J226" s="1">
        <v>43200000</v>
      </c>
      <c r="K226" s="1">
        <v>5830000000</v>
      </c>
      <c r="L226" s="1">
        <v>0</v>
      </c>
      <c r="M226" s="1">
        <v>1260000000</v>
      </c>
      <c r="N226" s="1">
        <v>8508900000</v>
      </c>
    </row>
    <row r="227" spans="1:14" x14ac:dyDescent="0.2">
      <c r="A227" t="s">
        <v>893</v>
      </c>
      <c r="B227" s="1">
        <v>203000000</v>
      </c>
      <c r="C227" s="1">
        <v>0</v>
      </c>
      <c r="D227" s="1">
        <v>0</v>
      </c>
      <c r="E227" s="1">
        <v>440000000</v>
      </c>
      <c r="F227" s="1">
        <v>1170000000</v>
      </c>
      <c r="G227" s="1">
        <v>54300000</v>
      </c>
      <c r="H227" s="1">
        <v>103000000</v>
      </c>
      <c r="I227" s="1">
        <v>155000000</v>
      </c>
      <c r="J227" s="1">
        <v>47700000</v>
      </c>
      <c r="K227" s="1">
        <v>2920000</v>
      </c>
      <c r="L227" s="1">
        <v>0</v>
      </c>
      <c r="M227" s="1">
        <v>1380000000</v>
      </c>
      <c r="N227" s="1">
        <v>3555920000</v>
      </c>
    </row>
    <row r="228" spans="1:14" x14ac:dyDescent="0.2">
      <c r="A228" t="s">
        <v>894</v>
      </c>
      <c r="B228" s="1">
        <v>188000000</v>
      </c>
      <c r="C228" s="1">
        <v>0</v>
      </c>
      <c r="D228" s="1">
        <v>0</v>
      </c>
      <c r="E228" s="1">
        <v>527000000</v>
      </c>
      <c r="F228" s="1">
        <v>1410000000</v>
      </c>
      <c r="G228" s="1">
        <v>66300000</v>
      </c>
      <c r="H228" s="1">
        <v>171000000</v>
      </c>
      <c r="I228" s="1">
        <v>201000000</v>
      </c>
      <c r="J228" s="1">
        <v>46800000</v>
      </c>
      <c r="K228" s="1">
        <v>0</v>
      </c>
      <c r="L228" s="1">
        <v>0</v>
      </c>
      <c r="M228" s="1">
        <v>1530000000</v>
      </c>
      <c r="N228" s="1">
        <v>4140100000</v>
      </c>
    </row>
    <row r="229" spans="1:14" x14ac:dyDescent="0.2">
      <c r="A229" t="s">
        <v>895</v>
      </c>
      <c r="B229" s="1">
        <v>331000000</v>
      </c>
      <c r="C229" s="1">
        <v>0</v>
      </c>
      <c r="D229" s="1">
        <v>0</v>
      </c>
      <c r="E229" s="1">
        <v>318000000</v>
      </c>
      <c r="F229" s="1">
        <v>866000000</v>
      </c>
      <c r="G229" s="1">
        <v>43600000</v>
      </c>
      <c r="H229" s="1">
        <v>94200000</v>
      </c>
      <c r="I229" s="1">
        <v>121000000</v>
      </c>
      <c r="J229" s="1">
        <v>10900000</v>
      </c>
      <c r="K229" s="1">
        <v>0</v>
      </c>
      <c r="L229" s="1">
        <v>0</v>
      </c>
      <c r="M229" s="1">
        <v>582000000</v>
      </c>
      <c r="N229" s="1">
        <v>2366700000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topLeftCell="A43" workbookViewId="0">
      <selection activeCell="D65" sqref="D65"/>
    </sheetView>
  </sheetViews>
  <sheetFormatPr baseColWidth="10" defaultRowHeight="15" x14ac:dyDescent="0.2"/>
  <cols>
    <col min="1" max="1" width="28.83203125" customWidth="1"/>
  </cols>
  <sheetData>
    <row r="1" spans="1:14" x14ac:dyDescent="0.2">
      <c r="A1" t="s">
        <v>236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237</v>
      </c>
      <c r="B2" s="1">
        <v>21700000</v>
      </c>
      <c r="C2" s="1">
        <v>0</v>
      </c>
      <c r="D2" s="1">
        <v>0</v>
      </c>
      <c r="E2" s="1">
        <v>24400000</v>
      </c>
      <c r="F2" s="1">
        <v>110000000</v>
      </c>
      <c r="G2" s="1">
        <v>4350000</v>
      </c>
      <c r="H2" s="1">
        <v>238000</v>
      </c>
      <c r="I2" s="1">
        <v>22100000</v>
      </c>
      <c r="J2" s="1">
        <v>4960000</v>
      </c>
      <c r="K2" s="1">
        <v>86300000</v>
      </c>
      <c r="L2" s="1">
        <v>0</v>
      </c>
      <c r="M2" s="1">
        <v>29800000</v>
      </c>
      <c r="N2" s="1">
        <v>304000000</v>
      </c>
    </row>
    <row r="3" spans="1:14" x14ac:dyDescent="0.2">
      <c r="A3" t="s">
        <v>238</v>
      </c>
      <c r="B3" s="1">
        <v>174000000</v>
      </c>
      <c r="C3" s="1">
        <v>0</v>
      </c>
      <c r="D3" s="1">
        <v>0</v>
      </c>
      <c r="E3" s="1">
        <v>159000000</v>
      </c>
      <c r="F3" s="1">
        <v>697000000</v>
      </c>
      <c r="G3" s="1">
        <v>29500000</v>
      </c>
      <c r="H3" s="1">
        <v>1930000</v>
      </c>
      <c r="I3" s="1">
        <v>108000000</v>
      </c>
      <c r="J3" s="1">
        <v>19900000</v>
      </c>
      <c r="K3" s="1">
        <v>481000000</v>
      </c>
      <c r="L3" s="1">
        <v>0</v>
      </c>
      <c r="M3" s="1">
        <v>202000000</v>
      </c>
      <c r="N3" s="1">
        <v>1870000000</v>
      </c>
    </row>
    <row r="4" spans="1:14" x14ac:dyDescent="0.2">
      <c r="A4" t="s">
        <v>239</v>
      </c>
      <c r="B4" s="1">
        <v>133000000</v>
      </c>
      <c r="C4" s="1">
        <v>0</v>
      </c>
      <c r="D4" s="1">
        <v>40100</v>
      </c>
      <c r="E4" s="1">
        <v>97200000</v>
      </c>
      <c r="F4" s="1">
        <v>479000000</v>
      </c>
      <c r="G4" s="1">
        <v>16300000</v>
      </c>
      <c r="H4" s="1">
        <v>1240000</v>
      </c>
      <c r="I4" s="1">
        <v>69600000</v>
      </c>
      <c r="J4" s="1">
        <v>21700000</v>
      </c>
      <c r="K4" s="1">
        <v>310000000</v>
      </c>
      <c r="L4" s="1">
        <v>0</v>
      </c>
      <c r="M4" s="1">
        <v>122000000</v>
      </c>
      <c r="N4" s="1">
        <v>1250000000</v>
      </c>
    </row>
    <row r="5" spans="1:14" x14ac:dyDescent="0.2">
      <c r="A5" t="s">
        <v>240</v>
      </c>
      <c r="B5" s="1">
        <v>168000000</v>
      </c>
      <c r="C5" s="1">
        <v>0</v>
      </c>
      <c r="D5" s="1">
        <v>64000</v>
      </c>
      <c r="E5" s="1">
        <v>113000000</v>
      </c>
      <c r="F5" s="1">
        <v>525000000</v>
      </c>
      <c r="G5" s="1">
        <v>16700000</v>
      </c>
      <c r="H5" s="1">
        <v>1610000</v>
      </c>
      <c r="I5" s="1">
        <v>101000000</v>
      </c>
      <c r="J5" s="1">
        <v>8250000</v>
      </c>
      <c r="K5" s="1">
        <v>0</v>
      </c>
      <c r="L5" s="1">
        <v>0</v>
      </c>
      <c r="M5" s="1">
        <v>101000000</v>
      </c>
      <c r="N5" s="1">
        <v>1450000000</v>
      </c>
    </row>
    <row r="6" spans="1:14" x14ac:dyDescent="0.2">
      <c r="A6" t="s">
        <v>241</v>
      </c>
      <c r="B6" s="1">
        <v>108000000</v>
      </c>
      <c r="C6" s="1">
        <v>0</v>
      </c>
      <c r="D6" s="1">
        <v>38800</v>
      </c>
      <c r="E6" s="1">
        <v>113000000</v>
      </c>
      <c r="F6" s="1">
        <v>486000000</v>
      </c>
      <c r="G6" s="1">
        <v>12600000</v>
      </c>
      <c r="H6" s="1">
        <v>1080000</v>
      </c>
      <c r="I6" s="1">
        <v>50100000</v>
      </c>
      <c r="J6" s="1">
        <v>21500000</v>
      </c>
      <c r="K6" s="1">
        <v>0</v>
      </c>
      <c r="L6" s="1">
        <v>0</v>
      </c>
      <c r="M6" s="1">
        <v>113000000</v>
      </c>
      <c r="N6" s="1">
        <v>1090000000</v>
      </c>
    </row>
    <row r="7" spans="1:14" x14ac:dyDescent="0.2">
      <c r="A7" t="s">
        <v>242</v>
      </c>
      <c r="B7" s="1">
        <v>36500000</v>
      </c>
      <c r="C7" s="1">
        <v>0</v>
      </c>
      <c r="D7" s="1">
        <v>0</v>
      </c>
      <c r="E7" s="1">
        <v>28000000</v>
      </c>
      <c r="F7" s="1">
        <v>127000000</v>
      </c>
      <c r="G7" s="1">
        <v>3170000</v>
      </c>
      <c r="H7" s="1">
        <v>332000</v>
      </c>
      <c r="I7" s="1">
        <v>13800000</v>
      </c>
      <c r="J7" s="1">
        <v>2810000</v>
      </c>
      <c r="K7" s="1">
        <v>0</v>
      </c>
      <c r="L7" s="1">
        <v>0</v>
      </c>
      <c r="M7" s="1">
        <v>31600000</v>
      </c>
      <c r="N7" s="1">
        <v>287000000</v>
      </c>
    </row>
    <row r="8" spans="1:14" x14ac:dyDescent="0.2">
      <c r="A8" t="s">
        <v>243</v>
      </c>
      <c r="B8" s="1">
        <v>69700000</v>
      </c>
      <c r="C8" s="1">
        <v>0</v>
      </c>
      <c r="D8" s="1">
        <v>78900</v>
      </c>
      <c r="E8" s="1">
        <v>204000000</v>
      </c>
      <c r="F8" s="1">
        <v>587000000</v>
      </c>
      <c r="G8" s="1">
        <v>27500000</v>
      </c>
      <c r="H8" s="1">
        <v>1080000</v>
      </c>
      <c r="I8" s="1">
        <v>96100000</v>
      </c>
      <c r="J8" s="1">
        <v>31600000</v>
      </c>
      <c r="K8" s="1">
        <v>0</v>
      </c>
      <c r="L8" s="1">
        <v>0</v>
      </c>
      <c r="M8" s="1">
        <v>142000000</v>
      </c>
      <c r="N8" s="1">
        <v>1160000000</v>
      </c>
    </row>
    <row r="9" spans="1:14" x14ac:dyDescent="0.2">
      <c r="A9" t="s">
        <v>244</v>
      </c>
      <c r="B9" s="1">
        <v>279000000</v>
      </c>
      <c r="C9" s="1">
        <v>0</v>
      </c>
      <c r="D9" s="1">
        <v>89200</v>
      </c>
      <c r="E9" s="1">
        <v>261000000</v>
      </c>
      <c r="F9" s="1">
        <v>661000000</v>
      </c>
      <c r="G9" s="1">
        <v>40800000</v>
      </c>
      <c r="H9" s="1">
        <v>2300000</v>
      </c>
      <c r="I9" s="1">
        <v>151000000</v>
      </c>
      <c r="J9" s="1">
        <v>61200000</v>
      </c>
      <c r="K9" s="1">
        <v>0</v>
      </c>
      <c r="L9" s="1">
        <v>0</v>
      </c>
      <c r="M9" s="1">
        <v>332000000</v>
      </c>
      <c r="N9" s="1">
        <v>1790000000</v>
      </c>
    </row>
    <row r="10" spans="1:14" x14ac:dyDescent="0.2">
      <c r="A10" t="s">
        <v>245</v>
      </c>
      <c r="B10" s="1">
        <v>113000000</v>
      </c>
      <c r="C10" s="1">
        <v>0</v>
      </c>
      <c r="D10" s="1">
        <v>228000</v>
      </c>
      <c r="E10" s="1">
        <v>175000000</v>
      </c>
      <c r="F10" s="1">
        <v>338000000</v>
      </c>
      <c r="G10" s="1">
        <v>24800000</v>
      </c>
      <c r="H10" s="1">
        <v>1700000</v>
      </c>
      <c r="I10" s="1">
        <v>88000000</v>
      </c>
      <c r="J10" s="1">
        <v>5910000</v>
      </c>
      <c r="K10" s="1">
        <v>0</v>
      </c>
      <c r="L10" s="1">
        <v>0</v>
      </c>
      <c r="M10" s="1">
        <v>50300000</v>
      </c>
      <c r="N10" s="1">
        <v>797000000</v>
      </c>
    </row>
    <row r="11" spans="1:14" x14ac:dyDescent="0.2">
      <c r="A11" t="s">
        <v>246</v>
      </c>
      <c r="B11" s="1">
        <v>29300000</v>
      </c>
      <c r="C11" s="1">
        <v>0</v>
      </c>
      <c r="D11" s="1">
        <v>0</v>
      </c>
      <c r="E11" s="1">
        <v>189000000</v>
      </c>
      <c r="F11" s="1">
        <v>869000000</v>
      </c>
      <c r="G11" s="1">
        <v>41500000</v>
      </c>
      <c r="H11" s="1">
        <v>1980000</v>
      </c>
      <c r="I11" s="1">
        <v>140000000</v>
      </c>
      <c r="J11" s="1">
        <v>0</v>
      </c>
      <c r="K11" s="1">
        <v>1060000000</v>
      </c>
      <c r="L11" s="1">
        <v>0</v>
      </c>
      <c r="M11" s="1">
        <v>153000000</v>
      </c>
      <c r="N11" s="1">
        <v>2480000000</v>
      </c>
    </row>
    <row r="12" spans="1:14" x14ac:dyDescent="0.2">
      <c r="A12" t="s">
        <v>247</v>
      </c>
      <c r="B12" s="1">
        <v>59700000</v>
      </c>
      <c r="C12" s="1">
        <v>0</v>
      </c>
      <c r="D12" s="1">
        <v>0</v>
      </c>
      <c r="E12" s="1">
        <v>256000000</v>
      </c>
      <c r="F12" s="1">
        <v>960000000</v>
      </c>
      <c r="G12" s="1">
        <v>43900000</v>
      </c>
      <c r="H12" s="1">
        <v>2710000</v>
      </c>
      <c r="I12" s="1">
        <v>181000000</v>
      </c>
      <c r="J12" s="1">
        <v>76000000</v>
      </c>
      <c r="K12" s="1">
        <v>1450000000</v>
      </c>
      <c r="L12" s="1">
        <v>0</v>
      </c>
      <c r="M12" s="1">
        <v>290000000</v>
      </c>
      <c r="N12" s="1">
        <v>3320000000</v>
      </c>
    </row>
    <row r="13" spans="1:14" x14ac:dyDescent="0.2">
      <c r="A13" t="s">
        <v>248</v>
      </c>
      <c r="B13" s="1">
        <v>84400000</v>
      </c>
      <c r="C13" s="1">
        <v>0</v>
      </c>
      <c r="D13" s="1">
        <v>0</v>
      </c>
      <c r="E13" s="1">
        <v>368000000</v>
      </c>
      <c r="F13" s="1">
        <v>1660000000</v>
      </c>
      <c r="G13" s="1">
        <v>78600000</v>
      </c>
      <c r="H13" s="1">
        <v>4260000</v>
      </c>
      <c r="I13" s="1">
        <v>273000000</v>
      </c>
      <c r="J13" s="1">
        <v>125000000</v>
      </c>
      <c r="K13" s="1">
        <v>2260000000</v>
      </c>
      <c r="L13" s="1">
        <v>0</v>
      </c>
      <c r="M13" s="1">
        <v>461000000</v>
      </c>
      <c r="N13" s="1">
        <v>5320000000</v>
      </c>
    </row>
    <row r="14" spans="1:14" x14ac:dyDescent="0.2">
      <c r="A14" t="s">
        <v>249</v>
      </c>
      <c r="B14" s="1">
        <v>15100000</v>
      </c>
      <c r="C14" s="1">
        <v>0</v>
      </c>
      <c r="D14" s="1">
        <v>56000</v>
      </c>
      <c r="E14" s="1">
        <v>27800000</v>
      </c>
      <c r="F14" s="1">
        <v>157000000</v>
      </c>
      <c r="G14" s="1">
        <v>4180000</v>
      </c>
      <c r="H14" s="1">
        <v>366000</v>
      </c>
      <c r="I14" s="1">
        <v>21200000</v>
      </c>
      <c r="J14" s="1">
        <v>6920000</v>
      </c>
      <c r="K14" s="1">
        <v>139000000</v>
      </c>
      <c r="L14" s="1">
        <v>0</v>
      </c>
      <c r="M14" s="1">
        <v>56800000</v>
      </c>
      <c r="N14" s="1">
        <v>429000000</v>
      </c>
    </row>
    <row r="15" spans="1:14" x14ac:dyDescent="0.2">
      <c r="A15" t="s">
        <v>250</v>
      </c>
      <c r="B15" s="1">
        <v>10900000</v>
      </c>
      <c r="C15" s="1">
        <v>0</v>
      </c>
      <c r="D15" s="1">
        <v>70600</v>
      </c>
      <c r="E15" s="1">
        <v>58800000</v>
      </c>
      <c r="F15" s="1">
        <v>235000000</v>
      </c>
      <c r="G15" s="1">
        <v>6880000</v>
      </c>
      <c r="H15" s="1">
        <v>695000</v>
      </c>
      <c r="I15" s="1">
        <v>36500000</v>
      </c>
      <c r="J15" s="1">
        <v>2750000</v>
      </c>
      <c r="K15" s="1">
        <v>257000000</v>
      </c>
      <c r="L15" s="1">
        <v>0</v>
      </c>
      <c r="M15" s="1">
        <v>57100000</v>
      </c>
      <c r="N15" s="1">
        <v>666000000</v>
      </c>
    </row>
    <row r="16" spans="1:14" x14ac:dyDescent="0.2">
      <c r="A16" t="s">
        <v>251</v>
      </c>
      <c r="B16" s="1">
        <v>15000000</v>
      </c>
      <c r="C16" s="1">
        <v>0</v>
      </c>
      <c r="D16" s="1">
        <v>26100</v>
      </c>
      <c r="E16" s="1">
        <v>24500000</v>
      </c>
      <c r="F16" s="1">
        <v>106000000</v>
      </c>
      <c r="G16" s="1">
        <v>2620000</v>
      </c>
      <c r="H16" s="1">
        <v>402000</v>
      </c>
      <c r="I16" s="1">
        <v>15400000</v>
      </c>
      <c r="J16" s="1">
        <v>1160000</v>
      </c>
      <c r="K16" s="1">
        <v>109000000</v>
      </c>
      <c r="L16" s="1">
        <v>0</v>
      </c>
      <c r="M16" s="1">
        <v>20700000</v>
      </c>
      <c r="N16" s="1">
        <v>296000000</v>
      </c>
    </row>
    <row r="17" spans="1:14" x14ac:dyDescent="0.2">
      <c r="A17" t="s">
        <v>252</v>
      </c>
      <c r="B17" s="1">
        <v>46400000</v>
      </c>
      <c r="C17" s="1">
        <v>0</v>
      </c>
      <c r="D17" s="1">
        <v>0</v>
      </c>
      <c r="E17" s="1">
        <v>371000000</v>
      </c>
      <c r="F17" s="1">
        <v>994000000</v>
      </c>
      <c r="G17" s="1">
        <v>59200000</v>
      </c>
      <c r="H17" s="1">
        <v>2870000</v>
      </c>
      <c r="I17" s="1">
        <v>142000000</v>
      </c>
      <c r="J17" s="1">
        <v>6130000</v>
      </c>
      <c r="K17" s="1">
        <v>0</v>
      </c>
      <c r="L17" s="1">
        <v>0</v>
      </c>
      <c r="M17" s="1">
        <v>226000000</v>
      </c>
      <c r="N17" s="1">
        <v>1850000000</v>
      </c>
    </row>
    <row r="18" spans="1:14" x14ac:dyDescent="0.2">
      <c r="A18" t="s">
        <v>253</v>
      </c>
      <c r="B18" s="1">
        <v>25200000</v>
      </c>
      <c r="C18" s="1">
        <v>0</v>
      </c>
      <c r="D18" s="1">
        <v>0</v>
      </c>
      <c r="E18" s="1">
        <v>126000000</v>
      </c>
      <c r="F18" s="1">
        <v>341000000</v>
      </c>
      <c r="G18" s="1">
        <v>17300000</v>
      </c>
      <c r="H18" s="1">
        <v>1120000</v>
      </c>
      <c r="I18" s="1">
        <v>68100000</v>
      </c>
      <c r="J18" s="1">
        <v>28800000</v>
      </c>
      <c r="K18" s="1">
        <v>0</v>
      </c>
      <c r="L18" s="1">
        <v>0</v>
      </c>
      <c r="M18" s="1">
        <v>108000000</v>
      </c>
      <c r="N18" s="1">
        <v>715000000</v>
      </c>
    </row>
    <row r="19" spans="1:14" x14ac:dyDescent="0.2">
      <c r="A19" t="s">
        <v>254</v>
      </c>
      <c r="B19" s="1">
        <v>117000000</v>
      </c>
      <c r="C19" s="1">
        <v>0</v>
      </c>
      <c r="D19" s="1">
        <v>0</v>
      </c>
      <c r="E19" s="1">
        <v>280000000</v>
      </c>
      <c r="F19" s="1">
        <v>880000000</v>
      </c>
      <c r="G19" s="1">
        <v>53800000</v>
      </c>
      <c r="H19" s="1">
        <v>2520000</v>
      </c>
      <c r="I19" s="1">
        <v>164000000</v>
      </c>
      <c r="J19" s="1">
        <v>46300000</v>
      </c>
      <c r="K19" s="1">
        <v>0</v>
      </c>
      <c r="L19" s="1">
        <v>0</v>
      </c>
      <c r="M19" s="1">
        <v>239000000</v>
      </c>
      <c r="N19" s="1">
        <v>1780000000</v>
      </c>
    </row>
    <row r="20" spans="1:14" x14ac:dyDescent="0.2">
      <c r="A20" t="s">
        <v>896</v>
      </c>
      <c r="B20" s="1">
        <v>250000000</v>
      </c>
      <c r="C20" s="1">
        <v>0</v>
      </c>
      <c r="D20" s="1">
        <v>0</v>
      </c>
      <c r="E20" s="1">
        <v>139000</v>
      </c>
      <c r="F20" s="1">
        <v>1260000000</v>
      </c>
      <c r="G20" s="1">
        <v>71700000</v>
      </c>
      <c r="H20" s="1">
        <v>23700000</v>
      </c>
      <c r="I20" s="1">
        <v>125000000</v>
      </c>
      <c r="J20" s="1">
        <v>163000000</v>
      </c>
      <c r="K20" s="1">
        <v>7680000000</v>
      </c>
      <c r="L20" s="1">
        <v>0</v>
      </c>
      <c r="M20" s="1">
        <v>345000000</v>
      </c>
      <c r="N20" s="1">
        <v>9918539000</v>
      </c>
    </row>
    <row r="21" spans="1:14" x14ac:dyDescent="0.2">
      <c r="A21" t="s">
        <v>897</v>
      </c>
      <c r="B21" s="1">
        <v>94600000</v>
      </c>
      <c r="C21" s="1">
        <v>0</v>
      </c>
      <c r="D21" s="1">
        <v>0</v>
      </c>
      <c r="E21" s="1">
        <v>291000</v>
      </c>
      <c r="F21" s="1">
        <v>568000000</v>
      </c>
      <c r="G21" s="1">
        <v>39900000</v>
      </c>
      <c r="H21" s="1">
        <v>9850000</v>
      </c>
      <c r="I21" s="1">
        <v>60800000</v>
      </c>
      <c r="J21" s="1">
        <v>38400000</v>
      </c>
      <c r="K21" s="1">
        <v>5830000000</v>
      </c>
      <c r="L21" s="1">
        <v>0</v>
      </c>
      <c r="M21" s="1">
        <v>1760000000</v>
      </c>
      <c r="N21" s="1">
        <v>8401841000</v>
      </c>
    </row>
    <row r="22" spans="1:14" x14ac:dyDescent="0.2">
      <c r="A22" t="s">
        <v>898</v>
      </c>
      <c r="B22" s="1">
        <v>36500000</v>
      </c>
      <c r="C22" s="1">
        <v>0</v>
      </c>
      <c r="D22" s="1">
        <v>0</v>
      </c>
      <c r="E22" s="1">
        <v>66100</v>
      </c>
      <c r="F22" s="1">
        <v>746000000</v>
      </c>
      <c r="G22" s="1">
        <v>81500000</v>
      </c>
      <c r="H22" s="1">
        <v>109000000</v>
      </c>
      <c r="I22" s="1">
        <v>98400000</v>
      </c>
      <c r="J22" s="1">
        <v>37400000</v>
      </c>
      <c r="K22" s="1">
        <v>4830000000</v>
      </c>
      <c r="L22" s="1">
        <v>0</v>
      </c>
      <c r="M22" s="1">
        <v>4440000000</v>
      </c>
      <c r="N22" s="1">
        <v>10378866100</v>
      </c>
    </row>
    <row r="23" spans="1:14" x14ac:dyDescent="0.2">
      <c r="A23" t="s">
        <v>899</v>
      </c>
      <c r="B23" s="1">
        <v>73600000</v>
      </c>
      <c r="C23" s="1">
        <v>0</v>
      </c>
      <c r="D23" s="1">
        <v>0</v>
      </c>
      <c r="E23" s="1">
        <v>0</v>
      </c>
      <c r="F23" s="1">
        <v>597000000</v>
      </c>
      <c r="G23" s="1">
        <v>49700000</v>
      </c>
      <c r="H23" s="1">
        <v>82900000</v>
      </c>
      <c r="I23" s="1">
        <v>50300000</v>
      </c>
      <c r="J23" s="1">
        <v>71200000</v>
      </c>
      <c r="K23" s="1">
        <v>3500000000</v>
      </c>
      <c r="L23" s="1">
        <v>0</v>
      </c>
      <c r="M23" s="1">
        <v>1750000000</v>
      </c>
      <c r="N23" s="1">
        <v>6174700000</v>
      </c>
    </row>
    <row r="24" spans="1:14" x14ac:dyDescent="0.2">
      <c r="A24" t="s">
        <v>900</v>
      </c>
      <c r="B24" s="1">
        <v>66600000</v>
      </c>
      <c r="C24" s="1">
        <v>0</v>
      </c>
      <c r="D24" s="1">
        <v>0</v>
      </c>
      <c r="E24" s="1">
        <v>0</v>
      </c>
      <c r="F24" s="1">
        <v>791000000</v>
      </c>
      <c r="G24" s="1">
        <v>58300000</v>
      </c>
      <c r="H24" s="1">
        <v>101000000</v>
      </c>
      <c r="I24" s="1">
        <v>29800000</v>
      </c>
      <c r="J24" s="1">
        <v>101000000</v>
      </c>
      <c r="K24" s="1">
        <v>3380000000</v>
      </c>
      <c r="L24" s="1">
        <v>0</v>
      </c>
      <c r="M24" s="1">
        <v>2100000000</v>
      </c>
      <c r="N24" s="1">
        <v>6627700000</v>
      </c>
    </row>
    <row r="25" spans="1:14" x14ac:dyDescent="0.2">
      <c r="A25" t="s">
        <v>901</v>
      </c>
      <c r="B25" s="1">
        <v>63800000</v>
      </c>
      <c r="C25" s="1">
        <v>0</v>
      </c>
      <c r="D25" s="1">
        <v>0</v>
      </c>
      <c r="E25" s="1">
        <v>3250000</v>
      </c>
      <c r="F25" s="1">
        <v>595000000</v>
      </c>
      <c r="G25" s="1">
        <v>29500000</v>
      </c>
      <c r="H25" s="1">
        <v>2560000</v>
      </c>
      <c r="I25" s="1">
        <v>137000000</v>
      </c>
      <c r="J25" s="1">
        <v>42500000</v>
      </c>
      <c r="K25" s="1">
        <v>5970000000</v>
      </c>
      <c r="L25" s="1">
        <v>0</v>
      </c>
      <c r="M25" s="1">
        <v>413000000</v>
      </c>
      <c r="N25" s="1">
        <v>7256610000</v>
      </c>
    </row>
    <row r="26" spans="1:14" x14ac:dyDescent="0.2">
      <c r="A26" t="s">
        <v>902</v>
      </c>
      <c r="B26" s="1">
        <v>13800000</v>
      </c>
      <c r="C26" s="1">
        <v>0</v>
      </c>
      <c r="D26" s="1">
        <v>0</v>
      </c>
      <c r="E26" s="1">
        <v>374000</v>
      </c>
      <c r="F26" s="1">
        <v>220000</v>
      </c>
      <c r="G26" s="1">
        <v>101000</v>
      </c>
      <c r="H26" s="1">
        <v>0</v>
      </c>
      <c r="I26" s="1">
        <v>0</v>
      </c>
      <c r="J26" s="1">
        <v>4660000</v>
      </c>
      <c r="K26" s="1">
        <v>2090000</v>
      </c>
      <c r="L26" s="1">
        <v>0</v>
      </c>
      <c r="M26" s="1">
        <v>31000000</v>
      </c>
      <c r="N26" s="1">
        <v>52245000</v>
      </c>
    </row>
    <row r="27" spans="1:14" x14ac:dyDescent="0.2">
      <c r="A27" t="s">
        <v>912</v>
      </c>
      <c r="B27" s="1">
        <v>199000000</v>
      </c>
      <c r="C27" s="1">
        <v>0</v>
      </c>
      <c r="D27" s="1">
        <v>0</v>
      </c>
      <c r="E27" s="1">
        <v>74500000</v>
      </c>
      <c r="F27" s="1">
        <v>1430000000</v>
      </c>
      <c r="G27" s="1">
        <v>36100000</v>
      </c>
      <c r="H27" s="1">
        <v>94100000</v>
      </c>
      <c r="I27" s="1">
        <v>161000000</v>
      </c>
      <c r="J27" s="1">
        <v>33900000</v>
      </c>
      <c r="K27" s="1">
        <v>3940000000</v>
      </c>
      <c r="L27" s="1">
        <v>0</v>
      </c>
      <c r="M27" s="1">
        <v>770000000</v>
      </c>
      <c r="N27" s="1">
        <v>6738600000</v>
      </c>
    </row>
    <row r="28" spans="1:14" x14ac:dyDescent="0.2">
      <c r="A28" t="s">
        <v>913</v>
      </c>
      <c r="B28" s="1">
        <v>78000000</v>
      </c>
      <c r="C28" s="1">
        <v>0</v>
      </c>
      <c r="D28" s="1">
        <v>0</v>
      </c>
      <c r="E28" s="1">
        <v>14400000</v>
      </c>
      <c r="F28" s="1">
        <v>716000000</v>
      </c>
      <c r="G28" s="1">
        <v>23800000</v>
      </c>
      <c r="H28" s="1">
        <v>52000000</v>
      </c>
      <c r="I28" s="1">
        <v>108000000</v>
      </c>
      <c r="J28" s="1">
        <v>19400000</v>
      </c>
      <c r="K28" s="1">
        <v>3200000000</v>
      </c>
      <c r="L28" s="1">
        <v>0</v>
      </c>
      <c r="M28" s="1">
        <v>921000000</v>
      </c>
      <c r="N28" s="1">
        <v>5132600000</v>
      </c>
    </row>
    <row r="29" spans="1:14" x14ac:dyDescent="0.2">
      <c r="A29" t="s">
        <v>914</v>
      </c>
      <c r="B29" s="1">
        <v>175000000</v>
      </c>
      <c r="C29" s="1">
        <v>0</v>
      </c>
      <c r="D29" s="1">
        <v>0</v>
      </c>
      <c r="E29" s="1">
        <v>122000000</v>
      </c>
      <c r="F29" s="1">
        <v>1600000000</v>
      </c>
      <c r="G29" s="1">
        <v>57100000</v>
      </c>
      <c r="H29" s="1">
        <v>122000000</v>
      </c>
      <c r="I29" s="1">
        <v>351000000</v>
      </c>
      <c r="J29" s="1">
        <v>46100000</v>
      </c>
      <c r="K29" s="1">
        <v>8380000000</v>
      </c>
      <c r="L29" s="1">
        <v>0</v>
      </c>
      <c r="M29" s="1">
        <v>1440000000</v>
      </c>
      <c r="N29" s="1">
        <v>12293200000</v>
      </c>
    </row>
    <row r="30" spans="1:14" x14ac:dyDescent="0.2">
      <c r="A30" t="s">
        <v>915</v>
      </c>
      <c r="B30" s="1">
        <v>45000000</v>
      </c>
      <c r="C30" s="1">
        <v>0</v>
      </c>
      <c r="D30" s="1">
        <v>0</v>
      </c>
      <c r="E30" s="1">
        <v>51600000</v>
      </c>
      <c r="F30" s="1">
        <v>769000000</v>
      </c>
      <c r="G30" s="1">
        <v>32500000</v>
      </c>
      <c r="H30" s="1">
        <v>91200000</v>
      </c>
      <c r="I30" s="1">
        <v>193000000</v>
      </c>
      <c r="J30" s="1">
        <v>44800000</v>
      </c>
      <c r="K30" s="1">
        <v>4740000000</v>
      </c>
      <c r="L30" s="1">
        <v>0</v>
      </c>
      <c r="M30" s="1">
        <v>480000000</v>
      </c>
      <c r="N30" s="1">
        <v>6447100000</v>
      </c>
    </row>
    <row r="31" spans="1:14" x14ac:dyDescent="0.2">
      <c r="A31" t="s">
        <v>916</v>
      </c>
      <c r="B31" s="1">
        <v>63700000</v>
      </c>
      <c r="C31" s="1">
        <v>0</v>
      </c>
      <c r="D31" s="1">
        <v>0</v>
      </c>
      <c r="E31" s="1">
        <v>205000000</v>
      </c>
      <c r="F31" s="1">
        <v>1070000000</v>
      </c>
      <c r="G31" s="1">
        <v>62300000</v>
      </c>
      <c r="H31" s="1">
        <v>118000000</v>
      </c>
      <c r="I31" s="1">
        <v>262000000</v>
      </c>
      <c r="J31" s="1">
        <v>50800000</v>
      </c>
      <c r="K31" s="1">
        <v>5720000000</v>
      </c>
      <c r="L31" s="1">
        <v>0</v>
      </c>
      <c r="M31" s="1">
        <v>877000000</v>
      </c>
      <c r="N31" s="1">
        <v>8428800000</v>
      </c>
    </row>
    <row r="32" spans="1:14" x14ac:dyDescent="0.2">
      <c r="A32" t="s">
        <v>917</v>
      </c>
      <c r="B32" s="1">
        <v>39700000</v>
      </c>
      <c r="C32" s="1">
        <v>0</v>
      </c>
      <c r="D32" s="1">
        <v>0</v>
      </c>
      <c r="E32" s="1">
        <v>100000000</v>
      </c>
      <c r="F32" s="1">
        <v>696000000</v>
      </c>
      <c r="G32" s="1">
        <v>31500000</v>
      </c>
      <c r="H32" s="1">
        <v>81300000</v>
      </c>
      <c r="I32" s="1">
        <v>126000000</v>
      </c>
      <c r="J32" s="1">
        <v>36900000</v>
      </c>
      <c r="K32" s="1">
        <v>3930000000</v>
      </c>
      <c r="L32" s="1">
        <v>0</v>
      </c>
      <c r="M32" s="1">
        <v>545000000</v>
      </c>
      <c r="N32" s="1">
        <v>5586400000</v>
      </c>
    </row>
    <row r="33" spans="1:14" x14ac:dyDescent="0.2">
      <c r="A33" t="s">
        <v>918</v>
      </c>
      <c r="B33" s="1">
        <v>108000000</v>
      </c>
      <c r="C33" s="1">
        <v>0</v>
      </c>
      <c r="D33" s="1">
        <v>0</v>
      </c>
      <c r="E33" s="1">
        <v>124000000</v>
      </c>
      <c r="F33" s="1">
        <v>1620000000</v>
      </c>
      <c r="G33" s="1">
        <v>53700000</v>
      </c>
      <c r="H33" s="1">
        <v>102000000</v>
      </c>
      <c r="I33" s="1">
        <v>366000000</v>
      </c>
      <c r="J33" s="1">
        <v>455000</v>
      </c>
      <c r="K33" s="1">
        <v>8650000000</v>
      </c>
      <c r="L33" s="1">
        <v>0</v>
      </c>
      <c r="M33" s="1">
        <v>939000000</v>
      </c>
      <c r="N33" s="1">
        <v>11963155000</v>
      </c>
    </row>
    <row r="34" spans="1:14" x14ac:dyDescent="0.2">
      <c r="A34" t="s">
        <v>919</v>
      </c>
      <c r="B34" s="1">
        <v>35700000</v>
      </c>
      <c r="C34" s="1">
        <v>0</v>
      </c>
      <c r="D34" s="1">
        <v>0</v>
      </c>
      <c r="E34" s="1">
        <v>84800000</v>
      </c>
      <c r="F34" s="1">
        <v>925000000</v>
      </c>
      <c r="G34" s="1">
        <v>30700000</v>
      </c>
      <c r="H34" s="1">
        <v>65100000</v>
      </c>
      <c r="I34" s="1">
        <v>186000000</v>
      </c>
      <c r="J34" s="1">
        <v>7350000</v>
      </c>
      <c r="K34" s="1">
        <v>4470000000</v>
      </c>
      <c r="L34" s="1">
        <v>0</v>
      </c>
      <c r="M34" s="1">
        <v>395000000</v>
      </c>
      <c r="N34" s="1">
        <v>6199650000</v>
      </c>
    </row>
    <row r="35" spans="1:14" x14ac:dyDescent="0.2">
      <c r="A35" t="s">
        <v>920</v>
      </c>
      <c r="B35" s="1">
        <v>44500000</v>
      </c>
      <c r="C35" s="1">
        <v>0</v>
      </c>
      <c r="D35" s="1">
        <v>0</v>
      </c>
      <c r="E35" s="1">
        <v>122000000</v>
      </c>
      <c r="F35" s="1">
        <v>949000000</v>
      </c>
      <c r="G35" s="1">
        <v>34200000</v>
      </c>
      <c r="H35" s="1">
        <v>70400000</v>
      </c>
      <c r="I35" s="1">
        <v>225000000</v>
      </c>
      <c r="J35" s="1">
        <v>58400000</v>
      </c>
      <c r="K35" s="1">
        <v>5380000000</v>
      </c>
      <c r="L35" s="1">
        <v>0</v>
      </c>
      <c r="M35" s="1">
        <v>520000000</v>
      </c>
      <c r="N35" s="1">
        <v>7403500000</v>
      </c>
    </row>
    <row r="36" spans="1:14" x14ac:dyDescent="0.2">
      <c r="A36" t="s">
        <v>903</v>
      </c>
      <c r="B36" s="1">
        <v>228000000</v>
      </c>
      <c r="C36" s="1">
        <v>0</v>
      </c>
      <c r="D36" s="1">
        <v>0</v>
      </c>
      <c r="E36" s="1">
        <v>366000000</v>
      </c>
      <c r="F36" s="1">
        <v>1060000000</v>
      </c>
      <c r="G36" s="1">
        <v>47200000</v>
      </c>
      <c r="H36" s="1">
        <v>135000000</v>
      </c>
      <c r="I36" s="1">
        <v>166000000</v>
      </c>
      <c r="J36" s="1">
        <v>39900000</v>
      </c>
      <c r="K36" s="1">
        <v>0</v>
      </c>
      <c r="L36" s="1">
        <v>0</v>
      </c>
      <c r="M36" s="1">
        <v>1720000000</v>
      </c>
      <c r="N36" s="1">
        <v>3762100000</v>
      </c>
    </row>
    <row r="37" spans="1:14" x14ac:dyDescent="0.2">
      <c r="A37" t="s">
        <v>904</v>
      </c>
      <c r="B37" s="1">
        <v>112000000</v>
      </c>
      <c r="C37" s="1">
        <v>0</v>
      </c>
      <c r="D37" s="1">
        <v>0</v>
      </c>
      <c r="E37" s="1">
        <v>426000000</v>
      </c>
      <c r="F37" s="1">
        <v>1530000000</v>
      </c>
      <c r="G37" s="1">
        <v>92700000</v>
      </c>
      <c r="H37" s="1">
        <v>146000000</v>
      </c>
      <c r="I37" s="1">
        <v>260000000</v>
      </c>
      <c r="J37" s="1">
        <v>96500000</v>
      </c>
      <c r="K37" s="1">
        <v>0</v>
      </c>
      <c r="L37" s="1">
        <v>0</v>
      </c>
      <c r="M37" s="1">
        <v>2290000000</v>
      </c>
      <c r="N37" s="1">
        <v>4953200000</v>
      </c>
    </row>
    <row r="38" spans="1:14" x14ac:dyDescent="0.2">
      <c r="A38" t="s">
        <v>905</v>
      </c>
      <c r="B38" s="1">
        <v>109000000</v>
      </c>
      <c r="C38" s="1">
        <v>0</v>
      </c>
      <c r="D38" s="1">
        <v>0</v>
      </c>
      <c r="E38" s="1">
        <v>451000000</v>
      </c>
      <c r="F38" s="1">
        <v>881000000</v>
      </c>
      <c r="G38" s="1">
        <v>84100000</v>
      </c>
      <c r="H38" s="1">
        <v>131000000</v>
      </c>
      <c r="I38" s="1">
        <v>226000000</v>
      </c>
      <c r="J38" s="1">
        <v>194000000</v>
      </c>
      <c r="K38" s="1">
        <v>0</v>
      </c>
      <c r="L38" s="1">
        <v>0</v>
      </c>
      <c r="M38" s="1">
        <v>2320000000</v>
      </c>
      <c r="N38" s="1">
        <v>4396100000</v>
      </c>
    </row>
    <row r="39" spans="1:14" x14ac:dyDescent="0.2">
      <c r="A39" t="s">
        <v>906</v>
      </c>
      <c r="B39" s="1">
        <v>113000000</v>
      </c>
      <c r="C39" s="1">
        <v>0</v>
      </c>
      <c r="D39" s="1">
        <v>0</v>
      </c>
      <c r="E39" s="1">
        <v>424000000</v>
      </c>
      <c r="F39" s="1">
        <v>1260000000</v>
      </c>
      <c r="G39" s="1">
        <v>134000000</v>
      </c>
      <c r="H39" s="1">
        <v>159000000</v>
      </c>
      <c r="I39" s="1">
        <v>349000000</v>
      </c>
      <c r="J39" s="1">
        <v>233000000</v>
      </c>
      <c r="K39" s="1">
        <v>0</v>
      </c>
      <c r="L39" s="1">
        <v>0</v>
      </c>
      <c r="M39" s="1">
        <v>2670000000</v>
      </c>
      <c r="N39" s="1">
        <v>5342000000</v>
      </c>
    </row>
    <row r="40" spans="1:14" x14ac:dyDescent="0.2">
      <c r="A40" t="s">
        <v>907</v>
      </c>
      <c r="B40" s="1">
        <v>106000000</v>
      </c>
      <c r="C40" s="1">
        <v>0</v>
      </c>
      <c r="D40" s="1">
        <v>0</v>
      </c>
      <c r="E40" s="1">
        <v>282000000</v>
      </c>
      <c r="F40" s="1">
        <v>844000000</v>
      </c>
      <c r="G40" s="1">
        <v>73700000</v>
      </c>
      <c r="H40" s="1">
        <v>103000000</v>
      </c>
      <c r="I40" s="1">
        <v>200000000</v>
      </c>
      <c r="J40" s="1">
        <v>159000000</v>
      </c>
      <c r="K40" s="1">
        <v>0</v>
      </c>
      <c r="L40" s="1">
        <v>0</v>
      </c>
      <c r="M40" s="1">
        <v>1690000000</v>
      </c>
      <c r="N40" s="1">
        <v>3457700000</v>
      </c>
    </row>
    <row r="41" spans="1:14" x14ac:dyDescent="0.2">
      <c r="A41" t="s">
        <v>908</v>
      </c>
      <c r="B41" s="1">
        <v>146000000</v>
      </c>
      <c r="C41" s="1">
        <v>0</v>
      </c>
      <c r="D41" s="1">
        <v>0</v>
      </c>
      <c r="E41" s="1">
        <v>244000000</v>
      </c>
      <c r="F41" s="1">
        <v>661000000</v>
      </c>
      <c r="G41" s="1">
        <v>60600000</v>
      </c>
      <c r="H41" s="1">
        <v>79600000</v>
      </c>
      <c r="I41" s="1">
        <v>174000000</v>
      </c>
      <c r="J41" s="1">
        <v>17600000</v>
      </c>
      <c r="K41" s="1">
        <v>0</v>
      </c>
      <c r="L41" s="1">
        <v>0</v>
      </c>
      <c r="M41" s="1">
        <v>729000000</v>
      </c>
      <c r="N41" s="1">
        <v>2111800000</v>
      </c>
    </row>
    <row r="42" spans="1:14" x14ac:dyDescent="0.2">
      <c r="A42" t="s">
        <v>909</v>
      </c>
      <c r="B42" s="1">
        <v>81500000</v>
      </c>
      <c r="C42" s="1">
        <v>0</v>
      </c>
      <c r="D42" s="1">
        <v>0</v>
      </c>
      <c r="E42" s="1">
        <v>392000000</v>
      </c>
      <c r="F42" s="1">
        <v>867000000</v>
      </c>
      <c r="G42" s="1">
        <v>56800000</v>
      </c>
      <c r="H42" s="1">
        <v>134000000</v>
      </c>
      <c r="I42" s="1">
        <v>275000000</v>
      </c>
      <c r="J42" s="1">
        <v>142000000</v>
      </c>
      <c r="K42" s="1">
        <v>0</v>
      </c>
      <c r="L42" s="1">
        <v>0</v>
      </c>
      <c r="M42" s="1">
        <v>2750000000</v>
      </c>
      <c r="N42" s="1">
        <v>4698300000</v>
      </c>
    </row>
    <row r="43" spans="1:14" x14ac:dyDescent="0.2">
      <c r="A43" t="s">
        <v>910</v>
      </c>
      <c r="B43" s="1">
        <v>132000000</v>
      </c>
      <c r="C43" s="1">
        <v>0</v>
      </c>
      <c r="D43" s="1">
        <v>0</v>
      </c>
      <c r="E43" s="1">
        <v>382000000</v>
      </c>
      <c r="F43" s="1">
        <v>1190000000</v>
      </c>
      <c r="G43" s="1">
        <v>77900000</v>
      </c>
      <c r="H43" s="1">
        <v>149000000</v>
      </c>
      <c r="I43" s="1">
        <v>271000000</v>
      </c>
      <c r="J43" s="1">
        <v>121000000</v>
      </c>
      <c r="K43" s="1">
        <v>0</v>
      </c>
      <c r="L43" s="1">
        <v>0</v>
      </c>
      <c r="M43" s="1">
        <v>2490000000</v>
      </c>
      <c r="N43" s="1">
        <v>4812900000</v>
      </c>
    </row>
    <row r="44" spans="1:14" x14ac:dyDescent="0.2">
      <c r="A44" t="s">
        <v>911</v>
      </c>
      <c r="B44" s="1">
        <v>197000000</v>
      </c>
      <c r="C44" s="1">
        <v>0</v>
      </c>
      <c r="D44" s="1">
        <v>0</v>
      </c>
      <c r="E44" s="1">
        <v>750000000</v>
      </c>
      <c r="F44" s="1">
        <v>1860000000</v>
      </c>
      <c r="G44" s="1">
        <v>138000000</v>
      </c>
      <c r="H44" s="1">
        <v>197000000</v>
      </c>
      <c r="I44" s="1">
        <v>378000000</v>
      </c>
      <c r="J44" s="1">
        <v>79000000</v>
      </c>
      <c r="K44" s="1">
        <v>0</v>
      </c>
      <c r="L44" s="1">
        <v>0</v>
      </c>
      <c r="M44" s="1">
        <v>3640000000</v>
      </c>
      <c r="N44" s="1">
        <v>7239000000</v>
      </c>
    </row>
    <row r="45" spans="1:14" x14ac:dyDescent="0.2">
      <c r="A45" t="s">
        <v>921</v>
      </c>
      <c r="B45" s="1">
        <v>176000000</v>
      </c>
      <c r="C45" s="1">
        <v>0</v>
      </c>
      <c r="D45" s="1">
        <v>0</v>
      </c>
      <c r="E45" s="1">
        <v>295000000</v>
      </c>
      <c r="F45" s="1">
        <v>851000000</v>
      </c>
      <c r="G45" s="1">
        <v>41100000</v>
      </c>
      <c r="H45" s="1">
        <v>79600000</v>
      </c>
      <c r="I45" s="1">
        <v>118000000</v>
      </c>
      <c r="J45" s="1">
        <v>0</v>
      </c>
      <c r="K45" s="1">
        <v>0</v>
      </c>
      <c r="L45" s="1">
        <v>0</v>
      </c>
      <c r="M45" s="1">
        <v>389000000</v>
      </c>
      <c r="N45" s="1">
        <v>1949700000</v>
      </c>
    </row>
    <row r="46" spans="1:14" x14ac:dyDescent="0.2">
      <c r="A46" t="s">
        <v>922</v>
      </c>
      <c r="B46" s="1">
        <v>92100000</v>
      </c>
      <c r="C46" s="1">
        <v>0</v>
      </c>
      <c r="D46" s="1">
        <v>0</v>
      </c>
      <c r="E46" s="1">
        <v>331000000</v>
      </c>
      <c r="F46" s="1">
        <v>1000000000</v>
      </c>
      <c r="G46" s="1">
        <v>59700000</v>
      </c>
      <c r="H46" s="1">
        <v>91900000</v>
      </c>
      <c r="I46" s="1">
        <v>210000000</v>
      </c>
      <c r="J46" s="1">
        <v>0</v>
      </c>
      <c r="K46" s="1">
        <v>0</v>
      </c>
      <c r="L46" s="1">
        <v>0</v>
      </c>
      <c r="M46" s="1">
        <v>533000000</v>
      </c>
      <c r="N46" s="1">
        <v>2317700000</v>
      </c>
    </row>
    <row r="47" spans="1:14" x14ac:dyDescent="0.2">
      <c r="A47" t="s">
        <v>923</v>
      </c>
      <c r="B47" s="1">
        <v>145000000</v>
      </c>
      <c r="C47" s="1">
        <v>0</v>
      </c>
      <c r="D47" s="1">
        <v>0</v>
      </c>
      <c r="E47" s="1">
        <v>339000000</v>
      </c>
      <c r="F47" s="1">
        <v>1070000000</v>
      </c>
      <c r="G47" s="1">
        <v>59300000</v>
      </c>
      <c r="H47" s="1">
        <v>115000000</v>
      </c>
      <c r="I47" s="1">
        <v>220000000</v>
      </c>
      <c r="J47" s="1">
        <v>0</v>
      </c>
      <c r="K47" s="1">
        <v>0</v>
      </c>
      <c r="L47" s="1">
        <v>0</v>
      </c>
      <c r="M47" s="1">
        <v>712000000</v>
      </c>
      <c r="N47" s="1">
        <v>2660300000</v>
      </c>
    </row>
    <row r="48" spans="1:14" x14ac:dyDescent="0.2">
      <c r="A48" t="s">
        <v>924</v>
      </c>
      <c r="B48" s="1">
        <v>141000000</v>
      </c>
      <c r="C48" s="1">
        <v>0</v>
      </c>
      <c r="D48" s="1">
        <v>0</v>
      </c>
      <c r="E48" s="1">
        <v>333000000</v>
      </c>
      <c r="F48" s="1">
        <v>763000000</v>
      </c>
      <c r="G48" s="1">
        <v>52700000</v>
      </c>
      <c r="H48" s="1">
        <v>83000000</v>
      </c>
      <c r="I48" s="1">
        <v>264000000</v>
      </c>
      <c r="J48" s="1">
        <v>104000000</v>
      </c>
      <c r="K48" s="1">
        <v>0</v>
      </c>
      <c r="L48" s="1">
        <v>0</v>
      </c>
      <c r="M48" s="1">
        <v>691000000</v>
      </c>
      <c r="N48" s="1">
        <v>2431700000</v>
      </c>
    </row>
    <row r="49" spans="1:14" x14ac:dyDescent="0.2">
      <c r="A49" t="s">
        <v>925</v>
      </c>
      <c r="B49" s="1">
        <v>208000000</v>
      </c>
      <c r="C49" s="1">
        <v>0</v>
      </c>
      <c r="D49" s="1">
        <v>0</v>
      </c>
      <c r="E49" s="1">
        <v>289000000</v>
      </c>
      <c r="F49" s="1">
        <v>965000000</v>
      </c>
      <c r="G49" s="1">
        <v>60200000</v>
      </c>
      <c r="H49" s="1">
        <v>91400000</v>
      </c>
      <c r="I49" s="1">
        <v>236000000</v>
      </c>
      <c r="J49" s="1">
        <v>119000000</v>
      </c>
      <c r="K49" s="1">
        <v>0</v>
      </c>
      <c r="L49" s="1">
        <v>0</v>
      </c>
      <c r="M49" s="1">
        <v>876000000</v>
      </c>
      <c r="N49" s="1">
        <v>2844600000</v>
      </c>
    </row>
    <row r="50" spans="1:14" x14ac:dyDescent="0.2">
      <c r="A50" t="s">
        <v>926</v>
      </c>
      <c r="B50" s="1">
        <v>150000000</v>
      </c>
      <c r="C50" s="1">
        <v>0</v>
      </c>
      <c r="D50" s="1">
        <v>0</v>
      </c>
      <c r="E50" s="1">
        <v>422000000</v>
      </c>
      <c r="F50" s="1">
        <v>1410000000</v>
      </c>
      <c r="G50" s="1">
        <v>107000000</v>
      </c>
      <c r="H50" s="1">
        <v>126000000</v>
      </c>
      <c r="I50" s="1">
        <v>336000000</v>
      </c>
      <c r="J50" s="1">
        <v>93300000</v>
      </c>
      <c r="K50" s="1">
        <v>0</v>
      </c>
      <c r="L50" s="1">
        <v>0</v>
      </c>
      <c r="M50" s="1">
        <v>761000000</v>
      </c>
      <c r="N50" s="1">
        <v>3405300000</v>
      </c>
    </row>
    <row r="51" spans="1:14" x14ac:dyDescent="0.2">
      <c r="A51" t="s">
        <v>927</v>
      </c>
      <c r="B51" s="1">
        <v>145000000</v>
      </c>
      <c r="C51" s="1">
        <v>0</v>
      </c>
      <c r="D51" s="1">
        <v>0</v>
      </c>
      <c r="E51" s="1">
        <v>403000000</v>
      </c>
      <c r="F51" s="1">
        <v>953000000</v>
      </c>
      <c r="G51" s="1">
        <v>44800000</v>
      </c>
      <c r="H51" s="1">
        <v>119000000</v>
      </c>
      <c r="I51" s="1">
        <v>328000000</v>
      </c>
      <c r="J51" s="1">
        <v>10100000</v>
      </c>
      <c r="K51" s="1">
        <v>0</v>
      </c>
      <c r="L51" s="1">
        <v>0</v>
      </c>
      <c r="M51" s="1">
        <v>814000000</v>
      </c>
      <c r="N51" s="1">
        <v>2816900000</v>
      </c>
    </row>
    <row r="52" spans="1:14" x14ac:dyDescent="0.2">
      <c r="A52" t="s">
        <v>928</v>
      </c>
      <c r="B52" s="1">
        <v>113000000</v>
      </c>
      <c r="C52" s="1">
        <v>0</v>
      </c>
      <c r="D52" s="1">
        <v>0</v>
      </c>
      <c r="E52" s="1">
        <v>214000000</v>
      </c>
      <c r="F52" s="1">
        <v>798000000</v>
      </c>
      <c r="G52" s="1">
        <v>40700000</v>
      </c>
      <c r="H52" s="1">
        <v>70300000</v>
      </c>
      <c r="I52" s="1">
        <v>233000000</v>
      </c>
      <c r="J52" s="1">
        <v>24600000</v>
      </c>
      <c r="K52" s="1">
        <v>0</v>
      </c>
      <c r="L52" s="1">
        <v>0</v>
      </c>
      <c r="M52" s="1">
        <v>447000000</v>
      </c>
      <c r="N52" s="1">
        <v>1940600000</v>
      </c>
    </row>
    <row r="53" spans="1:14" x14ac:dyDescent="0.2">
      <c r="A53" t="s">
        <v>929</v>
      </c>
      <c r="B53" s="1">
        <v>332000000</v>
      </c>
      <c r="C53" s="1">
        <v>0</v>
      </c>
      <c r="D53" s="1">
        <v>0</v>
      </c>
      <c r="E53" s="1">
        <v>615000000</v>
      </c>
      <c r="F53" s="1">
        <v>2760000000</v>
      </c>
      <c r="G53" s="1">
        <v>165000000</v>
      </c>
      <c r="H53" s="1">
        <v>165000000</v>
      </c>
      <c r="I53" s="1">
        <v>567000000</v>
      </c>
      <c r="J53" s="1">
        <v>123000000</v>
      </c>
      <c r="K53" s="1">
        <v>0</v>
      </c>
      <c r="L53" s="1">
        <v>0</v>
      </c>
      <c r="M53" s="1">
        <v>1290000000</v>
      </c>
      <c r="N53" s="1">
        <v>6017000000</v>
      </c>
    </row>
    <row r="54" spans="1:14" x14ac:dyDescent="0.2">
      <c r="A54" t="s">
        <v>930</v>
      </c>
      <c r="B54" s="1">
        <v>386000000</v>
      </c>
      <c r="C54" s="1">
        <v>0</v>
      </c>
      <c r="D54" s="1">
        <v>0</v>
      </c>
      <c r="E54" s="1">
        <v>567000</v>
      </c>
      <c r="F54" s="1">
        <v>1510000000</v>
      </c>
      <c r="G54" s="1">
        <v>43800000</v>
      </c>
      <c r="H54" s="1">
        <v>26600000</v>
      </c>
      <c r="I54" s="1">
        <v>110000000</v>
      </c>
      <c r="J54" s="1">
        <v>72700000</v>
      </c>
      <c r="K54" s="1">
        <v>7480000000</v>
      </c>
      <c r="L54" s="1">
        <v>0</v>
      </c>
      <c r="M54" s="1">
        <v>1000000000</v>
      </c>
      <c r="N54" s="1">
        <v>10629667000</v>
      </c>
    </row>
    <row r="55" spans="1:14" x14ac:dyDescent="0.2">
      <c r="A55" t="s">
        <v>931</v>
      </c>
      <c r="B55" s="1">
        <v>424000000</v>
      </c>
      <c r="C55" s="1">
        <v>0</v>
      </c>
      <c r="D55" s="1">
        <v>0</v>
      </c>
      <c r="E55" s="1">
        <v>877000</v>
      </c>
      <c r="F55" s="1">
        <v>2890000000</v>
      </c>
      <c r="G55" s="1">
        <v>56500000</v>
      </c>
      <c r="H55" s="1">
        <v>65600000</v>
      </c>
      <c r="I55" s="1">
        <v>101000000</v>
      </c>
      <c r="J55" s="1">
        <v>134000000</v>
      </c>
      <c r="K55" s="1">
        <v>13600000000</v>
      </c>
      <c r="L55" s="1">
        <v>0</v>
      </c>
      <c r="M55" s="1">
        <v>1980000000</v>
      </c>
      <c r="N55" s="1">
        <v>19251977000</v>
      </c>
    </row>
    <row r="56" spans="1:14" x14ac:dyDescent="0.2">
      <c r="A56" t="s">
        <v>932</v>
      </c>
      <c r="B56" s="1">
        <v>31000000</v>
      </c>
      <c r="C56" s="1">
        <v>0</v>
      </c>
      <c r="D56" s="1">
        <v>0</v>
      </c>
      <c r="E56" s="1">
        <v>14200000</v>
      </c>
      <c r="F56" s="1">
        <v>686000000</v>
      </c>
      <c r="G56" s="1">
        <v>52200000</v>
      </c>
      <c r="H56" s="1">
        <v>52800000</v>
      </c>
      <c r="I56" s="1">
        <v>221000000</v>
      </c>
      <c r="J56" s="1">
        <v>1380000</v>
      </c>
      <c r="K56" s="1">
        <v>6060000000</v>
      </c>
      <c r="L56" s="1">
        <v>0</v>
      </c>
      <c r="M56" s="1">
        <v>549000000</v>
      </c>
      <c r="N56" s="1">
        <v>7667580000</v>
      </c>
    </row>
    <row r="57" spans="1:14" x14ac:dyDescent="0.2">
      <c r="A57" t="s">
        <v>933</v>
      </c>
      <c r="B57" s="1">
        <v>28500000</v>
      </c>
      <c r="C57" s="1">
        <v>0</v>
      </c>
      <c r="D57" s="1">
        <v>0</v>
      </c>
      <c r="E57" s="1">
        <v>3300000</v>
      </c>
      <c r="F57" s="1">
        <v>1050000000</v>
      </c>
      <c r="G57" s="1">
        <v>64000000</v>
      </c>
      <c r="H57" s="1">
        <v>139000000</v>
      </c>
      <c r="I57" s="1">
        <v>290000000</v>
      </c>
      <c r="J57" s="1">
        <v>3750000</v>
      </c>
      <c r="K57" s="1">
        <v>8470000000</v>
      </c>
      <c r="L57" s="1">
        <v>0</v>
      </c>
      <c r="M57" s="1">
        <v>648000000</v>
      </c>
      <c r="N57" s="1">
        <v>10696550000</v>
      </c>
    </row>
    <row r="58" spans="1:14" x14ac:dyDescent="0.2">
      <c r="A58" t="s">
        <v>934</v>
      </c>
      <c r="B58" s="1">
        <v>188000000</v>
      </c>
      <c r="C58" s="1">
        <v>0</v>
      </c>
      <c r="D58" s="1">
        <v>0</v>
      </c>
      <c r="E58" s="1">
        <v>0</v>
      </c>
      <c r="F58" s="1">
        <v>2470000</v>
      </c>
      <c r="G58" s="1">
        <v>14000000</v>
      </c>
      <c r="H58" s="1">
        <v>17100000</v>
      </c>
      <c r="I58" s="1">
        <v>294000</v>
      </c>
      <c r="J58" s="1">
        <v>57900000</v>
      </c>
      <c r="K58" s="1">
        <v>0</v>
      </c>
      <c r="L58" s="1">
        <v>0</v>
      </c>
      <c r="M58" s="1">
        <v>802000000</v>
      </c>
      <c r="N58" s="1">
        <v>1081764000</v>
      </c>
    </row>
    <row r="59" spans="1:14" x14ac:dyDescent="0.2">
      <c r="A59" t="s">
        <v>935</v>
      </c>
      <c r="B59" s="1">
        <v>361000000</v>
      </c>
      <c r="C59" s="1">
        <v>0</v>
      </c>
      <c r="D59" s="1">
        <v>0</v>
      </c>
      <c r="E59" s="1">
        <v>0</v>
      </c>
      <c r="F59" s="1">
        <v>11700000</v>
      </c>
      <c r="G59" s="1">
        <v>20600000</v>
      </c>
      <c r="H59" s="1">
        <v>55700000</v>
      </c>
      <c r="I59" s="1">
        <v>355000</v>
      </c>
      <c r="J59" s="1">
        <v>95400000</v>
      </c>
      <c r="K59" s="1">
        <v>0</v>
      </c>
      <c r="L59" s="1">
        <v>0</v>
      </c>
      <c r="M59" s="1">
        <v>1340000000</v>
      </c>
      <c r="N59" s="1">
        <v>1884755000</v>
      </c>
    </row>
    <row r="60" spans="1:14" x14ac:dyDescent="0.2">
      <c r="A60" t="s">
        <v>936</v>
      </c>
      <c r="B60" s="1">
        <v>486000000</v>
      </c>
      <c r="C60" s="1">
        <v>0</v>
      </c>
      <c r="D60" s="1">
        <v>0</v>
      </c>
      <c r="E60" s="1">
        <v>0</v>
      </c>
      <c r="F60" s="1">
        <v>693000</v>
      </c>
      <c r="G60" s="1">
        <v>14400000</v>
      </c>
      <c r="H60" s="1">
        <v>445000</v>
      </c>
      <c r="I60" s="1">
        <v>148000</v>
      </c>
      <c r="J60" s="1">
        <v>107000000</v>
      </c>
      <c r="K60" s="1">
        <v>0</v>
      </c>
      <c r="L60" s="1">
        <v>0</v>
      </c>
      <c r="M60" s="1">
        <v>2390000000</v>
      </c>
      <c r="N60" s="1">
        <v>2998686000</v>
      </c>
    </row>
    <row r="61" spans="1:14" x14ac:dyDescent="0.2">
      <c r="A61" t="s">
        <v>937</v>
      </c>
      <c r="B61" s="1">
        <v>46300000</v>
      </c>
      <c r="C61" s="1">
        <v>0</v>
      </c>
      <c r="D61" s="1">
        <v>0</v>
      </c>
      <c r="E61" s="1">
        <v>12800</v>
      </c>
      <c r="F61" s="1">
        <v>307000000</v>
      </c>
      <c r="G61" s="1">
        <v>29700000</v>
      </c>
      <c r="H61" s="1">
        <v>414000</v>
      </c>
      <c r="I61" s="1">
        <v>3760000</v>
      </c>
      <c r="J61" s="1">
        <v>21200000</v>
      </c>
      <c r="K61" s="1">
        <v>0</v>
      </c>
      <c r="L61" s="1">
        <v>0</v>
      </c>
      <c r="M61" s="1">
        <v>1170000000</v>
      </c>
      <c r="N61" s="1">
        <v>1578386800</v>
      </c>
    </row>
    <row r="62" spans="1:14" x14ac:dyDescent="0.2">
      <c r="A62" t="s">
        <v>938</v>
      </c>
      <c r="B62" s="1">
        <v>55000000</v>
      </c>
      <c r="C62" s="1">
        <v>0</v>
      </c>
      <c r="D62" s="1">
        <v>0</v>
      </c>
      <c r="E62" s="1">
        <v>0</v>
      </c>
      <c r="F62" s="1">
        <v>175000000</v>
      </c>
      <c r="G62" s="1">
        <v>25800000</v>
      </c>
      <c r="H62" s="1">
        <v>281000</v>
      </c>
      <c r="I62" s="1">
        <v>0</v>
      </c>
      <c r="J62" s="1">
        <v>35400000</v>
      </c>
      <c r="K62" s="1">
        <v>0</v>
      </c>
      <c r="L62" s="1">
        <v>0</v>
      </c>
      <c r="M62" s="1">
        <v>1970000000</v>
      </c>
      <c r="N62" s="1">
        <v>2261481000</v>
      </c>
    </row>
    <row r="63" spans="1:14" x14ac:dyDescent="0.2">
      <c r="A63" t="s">
        <v>939</v>
      </c>
      <c r="B63" s="1">
        <v>122000000</v>
      </c>
      <c r="C63" s="1">
        <v>0</v>
      </c>
      <c r="D63" s="1">
        <v>0</v>
      </c>
      <c r="E63" s="1">
        <v>0</v>
      </c>
      <c r="F63" s="1">
        <v>592000000</v>
      </c>
      <c r="G63" s="1">
        <v>20900000</v>
      </c>
      <c r="H63" s="1">
        <v>359000</v>
      </c>
      <c r="I63" s="1">
        <v>0</v>
      </c>
      <c r="J63" s="1">
        <v>40900000</v>
      </c>
      <c r="K63" s="1">
        <v>0</v>
      </c>
      <c r="L63" s="1">
        <v>0</v>
      </c>
      <c r="M63" s="1">
        <v>2000000000</v>
      </c>
      <c r="N63" s="1">
        <v>2776159000</v>
      </c>
    </row>
    <row r="64" spans="1:14" x14ac:dyDescent="0.2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1"/>
  <sheetViews>
    <sheetView workbookViewId="0">
      <selection activeCell="A27" sqref="A27"/>
    </sheetView>
  </sheetViews>
  <sheetFormatPr baseColWidth="10" defaultRowHeight="15" x14ac:dyDescent="0.2"/>
  <cols>
    <col min="1" max="1" width="24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255</v>
      </c>
      <c r="B2" s="1">
        <v>0</v>
      </c>
      <c r="C2" s="1">
        <v>38300000</v>
      </c>
      <c r="D2" s="1">
        <v>0</v>
      </c>
      <c r="E2" s="1">
        <v>115000000</v>
      </c>
      <c r="F2" s="1">
        <v>2470000000</v>
      </c>
      <c r="G2" s="1">
        <v>53600000</v>
      </c>
      <c r="H2" s="1">
        <v>12100000</v>
      </c>
      <c r="I2" s="1">
        <v>267000000</v>
      </c>
      <c r="J2" s="1">
        <v>318000000</v>
      </c>
      <c r="K2" s="1">
        <v>9720000000</v>
      </c>
      <c r="L2" s="1">
        <v>145000000</v>
      </c>
      <c r="M2" s="1">
        <v>584000000</v>
      </c>
      <c r="N2" s="1">
        <v>13700000000</v>
      </c>
    </row>
    <row r="3" spans="1:14" x14ac:dyDescent="0.2">
      <c r="A3" t="s">
        <v>256</v>
      </c>
      <c r="B3" s="1">
        <v>0</v>
      </c>
      <c r="C3" s="1">
        <v>22000000</v>
      </c>
      <c r="D3" s="1">
        <v>0</v>
      </c>
      <c r="E3" s="1">
        <v>140000000</v>
      </c>
      <c r="F3" s="1">
        <v>2860000000</v>
      </c>
      <c r="G3" s="1">
        <v>60100000</v>
      </c>
      <c r="H3" s="1">
        <v>14700000</v>
      </c>
      <c r="I3" s="1">
        <v>343000000</v>
      </c>
      <c r="J3" s="1">
        <v>295000000</v>
      </c>
      <c r="K3" s="1">
        <v>11900000000</v>
      </c>
      <c r="L3" s="1">
        <v>108000000</v>
      </c>
      <c r="M3" s="1">
        <v>566000000</v>
      </c>
      <c r="N3" s="1">
        <v>16300000000</v>
      </c>
    </row>
    <row r="4" spans="1:14" x14ac:dyDescent="0.2">
      <c r="A4" t="s">
        <v>257</v>
      </c>
      <c r="B4" s="1">
        <v>0</v>
      </c>
      <c r="C4" s="1">
        <v>126000000</v>
      </c>
      <c r="D4" s="1">
        <v>0</v>
      </c>
      <c r="E4" s="1">
        <v>99500000</v>
      </c>
      <c r="F4" s="1">
        <v>2230000000</v>
      </c>
      <c r="G4" s="1">
        <v>46400000</v>
      </c>
      <c r="H4" s="1">
        <v>11800000</v>
      </c>
      <c r="I4" s="1">
        <v>279000000</v>
      </c>
      <c r="J4" s="1">
        <v>245000000</v>
      </c>
      <c r="K4" s="1">
        <v>9440000000</v>
      </c>
      <c r="L4" s="1">
        <v>84000000</v>
      </c>
      <c r="M4" s="1">
        <v>398000000</v>
      </c>
      <c r="N4" s="1">
        <v>13000000000</v>
      </c>
    </row>
    <row r="5" spans="1:14" x14ac:dyDescent="0.2">
      <c r="A5" t="s">
        <v>258</v>
      </c>
      <c r="B5" s="1">
        <v>87600000</v>
      </c>
      <c r="C5" s="1">
        <v>3080000</v>
      </c>
      <c r="D5" s="1">
        <v>0</v>
      </c>
      <c r="E5" s="1">
        <v>31200000</v>
      </c>
      <c r="F5" s="1">
        <v>1230000000</v>
      </c>
      <c r="G5" s="1">
        <v>19400000</v>
      </c>
      <c r="H5" s="1">
        <v>10700000</v>
      </c>
      <c r="I5" s="1">
        <v>218000000</v>
      </c>
      <c r="J5" s="1">
        <v>27600000</v>
      </c>
      <c r="K5" s="1">
        <v>3580000000</v>
      </c>
      <c r="L5" s="1">
        <v>0</v>
      </c>
      <c r="M5" s="1">
        <v>292000000</v>
      </c>
      <c r="N5" s="1">
        <v>5510000000</v>
      </c>
    </row>
    <row r="6" spans="1:14" x14ac:dyDescent="0.2">
      <c r="A6" t="s">
        <v>259</v>
      </c>
      <c r="B6" s="1">
        <v>111000000</v>
      </c>
      <c r="C6" s="1">
        <v>1720000</v>
      </c>
      <c r="D6" s="1">
        <v>354000</v>
      </c>
      <c r="E6" s="1">
        <v>28700000</v>
      </c>
      <c r="F6" s="1">
        <v>1020000000</v>
      </c>
      <c r="G6" s="1">
        <v>17200000</v>
      </c>
      <c r="H6" s="1">
        <v>9450000</v>
      </c>
      <c r="I6" s="1">
        <v>187000000</v>
      </c>
      <c r="J6" s="1">
        <v>19500000</v>
      </c>
      <c r="K6" s="1">
        <v>3380000000</v>
      </c>
      <c r="L6" s="1">
        <v>0</v>
      </c>
      <c r="M6" s="1">
        <v>279000000</v>
      </c>
      <c r="N6" s="1">
        <v>5050000000</v>
      </c>
    </row>
    <row r="7" spans="1:14" x14ac:dyDescent="0.2">
      <c r="A7" t="s">
        <v>260</v>
      </c>
      <c r="B7" s="1">
        <v>34700000</v>
      </c>
      <c r="C7" s="1">
        <v>1280000</v>
      </c>
      <c r="D7" s="1">
        <v>0</v>
      </c>
      <c r="E7" s="1">
        <v>26700000</v>
      </c>
      <c r="F7" s="1">
        <v>921000000</v>
      </c>
      <c r="G7" s="1">
        <v>16900000</v>
      </c>
      <c r="H7" s="1">
        <v>8020000</v>
      </c>
      <c r="I7" s="1">
        <v>159000000</v>
      </c>
      <c r="J7" s="1">
        <v>12300000</v>
      </c>
      <c r="K7" s="1">
        <v>2880000000</v>
      </c>
      <c r="L7" s="1">
        <v>0</v>
      </c>
      <c r="M7" s="1">
        <v>170000000</v>
      </c>
      <c r="N7" s="1">
        <v>4230000000</v>
      </c>
    </row>
    <row r="8" spans="1:14" x14ac:dyDescent="0.2">
      <c r="A8" t="s">
        <v>261</v>
      </c>
      <c r="B8" s="1">
        <v>367000000</v>
      </c>
      <c r="C8" s="1">
        <v>3600000</v>
      </c>
      <c r="D8" s="1">
        <v>0</v>
      </c>
      <c r="E8" s="1">
        <v>114000000</v>
      </c>
      <c r="F8" s="1">
        <v>28100000000</v>
      </c>
      <c r="G8" s="1">
        <v>519000</v>
      </c>
      <c r="H8" s="1">
        <v>11500000</v>
      </c>
      <c r="I8" s="1">
        <v>596000000</v>
      </c>
      <c r="J8" s="1">
        <v>29200000</v>
      </c>
      <c r="K8" s="1">
        <v>30700000000</v>
      </c>
      <c r="L8" s="1">
        <v>0</v>
      </c>
      <c r="M8" s="1">
        <v>796000000</v>
      </c>
      <c r="N8" s="1">
        <v>60700000000</v>
      </c>
    </row>
    <row r="9" spans="1:14" x14ac:dyDescent="0.2">
      <c r="A9" t="s">
        <v>262</v>
      </c>
      <c r="B9" s="1">
        <v>395000000</v>
      </c>
      <c r="C9" s="1">
        <v>2620000</v>
      </c>
      <c r="D9" s="1">
        <v>0</v>
      </c>
      <c r="E9" s="1">
        <v>78000000</v>
      </c>
      <c r="F9" s="1">
        <v>19000000000</v>
      </c>
      <c r="G9" s="1">
        <v>219000000</v>
      </c>
      <c r="H9" s="1">
        <v>7040000</v>
      </c>
      <c r="I9" s="1">
        <v>375000000</v>
      </c>
      <c r="J9" s="1">
        <v>29200000</v>
      </c>
      <c r="K9" s="1">
        <v>21200000000</v>
      </c>
      <c r="L9" s="1">
        <v>0</v>
      </c>
      <c r="M9" s="1">
        <v>779000000</v>
      </c>
      <c r="N9" s="1">
        <v>42100000000</v>
      </c>
    </row>
    <row r="10" spans="1:14" x14ac:dyDescent="0.2">
      <c r="A10" t="s">
        <v>263</v>
      </c>
      <c r="B10" s="1">
        <v>421000000</v>
      </c>
      <c r="C10" s="1">
        <v>2510000</v>
      </c>
      <c r="D10" s="1">
        <v>0</v>
      </c>
      <c r="E10" s="1">
        <v>99500000</v>
      </c>
      <c r="F10" s="1">
        <v>24900000000</v>
      </c>
      <c r="G10" s="1">
        <v>281000000</v>
      </c>
      <c r="H10" s="1">
        <v>8430000</v>
      </c>
      <c r="I10" s="1">
        <v>444000000</v>
      </c>
      <c r="J10" s="1">
        <v>34500000</v>
      </c>
      <c r="K10" s="1">
        <v>25400000000</v>
      </c>
      <c r="L10" s="1">
        <v>0</v>
      </c>
      <c r="M10" s="1">
        <v>731000000</v>
      </c>
      <c r="N10" s="1">
        <v>52300000000</v>
      </c>
    </row>
    <row r="11" spans="1:14" x14ac:dyDescent="0.2">
      <c r="A11" t="s">
        <v>264</v>
      </c>
      <c r="B11" s="1">
        <v>0</v>
      </c>
      <c r="C11" s="1">
        <v>6950000</v>
      </c>
      <c r="D11" s="1">
        <v>0</v>
      </c>
      <c r="E11" s="1">
        <v>54700000</v>
      </c>
      <c r="F11" s="1">
        <v>13300000000</v>
      </c>
      <c r="G11" s="1">
        <v>217000000</v>
      </c>
      <c r="H11" s="1">
        <v>5240000</v>
      </c>
      <c r="I11" s="1">
        <v>303000000</v>
      </c>
      <c r="J11" s="1">
        <v>194000000</v>
      </c>
      <c r="K11" s="1">
        <v>13100000000</v>
      </c>
      <c r="L11" s="1">
        <v>73700000</v>
      </c>
      <c r="M11" s="1">
        <v>336000000</v>
      </c>
      <c r="N11" s="1">
        <v>27600000000</v>
      </c>
    </row>
    <row r="12" spans="1:14" x14ac:dyDescent="0.2">
      <c r="A12" t="s">
        <v>265</v>
      </c>
      <c r="B12" s="1">
        <v>0</v>
      </c>
      <c r="C12" s="1">
        <v>21500000</v>
      </c>
      <c r="D12" s="1">
        <v>0</v>
      </c>
      <c r="E12" s="1">
        <v>152000000</v>
      </c>
      <c r="F12" s="1">
        <v>38300000000</v>
      </c>
      <c r="G12" s="1">
        <v>466000000</v>
      </c>
      <c r="H12" s="1">
        <v>12400000</v>
      </c>
      <c r="I12" s="1">
        <v>809000000</v>
      </c>
      <c r="J12" s="1">
        <v>470000000</v>
      </c>
      <c r="K12" s="1">
        <v>32200000000</v>
      </c>
      <c r="L12" s="1">
        <v>178000000</v>
      </c>
      <c r="M12" s="1">
        <v>842000000</v>
      </c>
      <c r="N12" s="1">
        <v>73500000000</v>
      </c>
    </row>
    <row r="13" spans="1:14" x14ac:dyDescent="0.2">
      <c r="A13" t="s">
        <v>266</v>
      </c>
      <c r="B13" s="1">
        <v>0</v>
      </c>
      <c r="C13" s="1">
        <v>13600000</v>
      </c>
      <c r="D13" s="1">
        <v>0</v>
      </c>
      <c r="E13" s="1">
        <v>96700000</v>
      </c>
      <c r="F13" s="1">
        <v>25400000000</v>
      </c>
      <c r="G13" s="1">
        <v>365000000</v>
      </c>
      <c r="H13" s="1">
        <v>11300000</v>
      </c>
      <c r="I13" s="1">
        <v>501000000</v>
      </c>
      <c r="J13" s="1">
        <v>291000000</v>
      </c>
      <c r="K13" s="1">
        <v>22600000000</v>
      </c>
      <c r="L13" s="1">
        <v>118000000</v>
      </c>
      <c r="M13" s="1">
        <v>453000000</v>
      </c>
      <c r="N13" s="1">
        <v>49900000000</v>
      </c>
    </row>
    <row r="14" spans="1:14" x14ac:dyDescent="0.2">
      <c r="A14" t="s">
        <v>267</v>
      </c>
      <c r="B14" s="1">
        <v>157000000</v>
      </c>
      <c r="C14" s="1">
        <v>3240000</v>
      </c>
      <c r="D14" s="1">
        <v>0</v>
      </c>
      <c r="E14" s="1">
        <v>43900000</v>
      </c>
      <c r="F14" s="1">
        <v>7350000000</v>
      </c>
      <c r="G14" s="1">
        <v>113000000</v>
      </c>
      <c r="H14" s="1">
        <v>3950000</v>
      </c>
      <c r="I14" s="1">
        <v>176000000</v>
      </c>
      <c r="J14" s="1">
        <v>12800000</v>
      </c>
      <c r="K14" s="1">
        <v>5970000000</v>
      </c>
      <c r="L14" s="1">
        <v>0</v>
      </c>
      <c r="M14" s="1">
        <v>358000000</v>
      </c>
      <c r="N14" s="1">
        <v>14200000000</v>
      </c>
    </row>
    <row r="15" spans="1:14" x14ac:dyDescent="0.2">
      <c r="A15" t="s">
        <v>268</v>
      </c>
      <c r="B15" s="1">
        <v>235000000</v>
      </c>
      <c r="C15" s="1">
        <v>3110000</v>
      </c>
      <c r="D15" s="1">
        <v>0</v>
      </c>
      <c r="E15" s="1">
        <v>50900000</v>
      </c>
      <c r="F15" s="1">
        <v>10000000000</v>
      </c>
      <c r="G15" s="1">
        <v>136000000</v>
      </c>
      <c r="H15" s="1">
        <v>4880000</v>
      </c>
      <c r="I15" s="1">
        <v>202000000</v>
      </c>
      <c r="J15" s="1">
        <v>17700000</v>
      </c>
      <c r="K15" s="1">
        <v>7540000000</v>
      </c>
      <c r="L15" s="1">
        <v>0</v>
      </c>
      <c r="M15" s="1">
        <v>484000000</v>
      </c>
      <c r="N15" s="1">
        <v>18700000000</v>
      </c>
    </row>
    <row r="16" spans="1:14" x14ac:dyDescent="0.2">
      <c r="A16" t="s">
        <v>269</v>
      </c>
      <c r="B16" s="1">
        <v>241000000</v>
      </c>
      <c r="C16" s="1">
        <v>2450000</v>
      </c>
      <c r="D16" s="1">
        <v>0</v>
      </c>
      <c r="E16" s="1">
        <v>74300000</v>
      </c>
      <c r="F16" s="1">
        <v>12300000000</v>
      </c>
      <c r="G16" s="1">
        <v>175000000</v>
      </c>
      <c r="H16" s="1">
        <v>6520000</v>
      </c>
      <c r="I16" s="1">
        <v>313000000</v>
      </c>
      <c r="J16" s="1">
        <v>13200000</v>
      </c>
      <c r="K16" s="1">
        <v>11200000000</v>
      </c>
      <c r="L16" s="1">
        <v>0</v>
      </c>
      <c r="M16" s="1">
        <v>439000000</v>
      </c>
      <c r="N16" s="1">
        <v>24800000000</v>
      </c>
    </row>
    <row r="17" spans="1:14" x14ac:dyDescent="0.2">
      <c r="A17" t="s">
        <v>270</v>
      </c>
      <c r="B17" s="1">
        <v>0</v>
      </c>
      <c r="C17" s="1">
        <v>17200000</v>
      </c>
      <c r="D17" s="1">
        <v>0</v>
      </c>
      <c r="E17" s="1">
        <v>86400000</v>
      </c>
      <c r="F17" s="1">
        <v>18600000000</v>
      </c>
      <c r="G17" s="1">
        <v>292000000</v>
      </c>
      <c r="H17" s="1">
        <v>10200000</v>
      </c>
      <c r="I17" s="1">
        <v>343000000</v>
      </c>
      <c r="J17" s="1">
        <v>293000000</v>
      </c>
      <c r="K17" s="1">
        <v>11800000000</v>
      </c>
      <c r="L17" s="1">
        <v>142000000</v>
      </c>
      <c r="M17" s="1">
        <v>608000000</v>
      </c>
      <c r="N17" s="1">
        <v>32100000000</v>
      </c>
    </row>
    <row r="18" spans="1:14" x14ac:dyDescent="0.2">
      <c r="A18" t="s">
        <v>271</v>
      </c>
      <c r="B18" s="1">
        <v>0</v>
      </c>
      <c r="C18" s="1">
        <v>27200000</v>
      </c>
      <c r="D18" s="1">
        <v>0</v>
      </c>
      <c r="E18" s="1">
        <v>83300000</v>
      </c>
      <c r="F18" s="1">
        <v>22000000000</v>
      </c>
      <c r="G18" s="1">
        <v>338000000</v>
      </c>
      <c r="H18" s="1">
        <v>9720000</v>
      </c>
      <c r="I18" s="1">
        <v>441000000</v>
      </c>
      <c r="J18" s="1">
        <v>264000000</v>
      </c>
      <c r="K18" s="1">
        <v>12200000000</v>
      </c>
      <c r="L18" s="1">
        <v>132000000</v>
      </c>
      <c r="M18" s="1">
        <v>479000000</v>
      </c>
      <c r="N18" s="1">
        <v>36000000000</v>
      </c>
    </row>
    <row r="19" spans="1:14" x14ac:dyDescent="0.2">
      <c r="A19" t="s">
        <v>272</v>
      </c>
      <c r="B19" s="1">
        <v>0</v>
      </c>
      <c r="C19" s="1">
        <v>24200000</v>
      </c>
      <c r="D19" s="1">
        <v>0</v>
      </c>
      <c r="E19" s="1">
        <v>95400000</v>
      </c>
      <c r="F19" s="1">
        <v>21700000000</v>
      </c>
      <c r="G19" s="1">
        <v>315000000</v>
      </c>
      <c r="H19" s="1">
        <v>10100000</v>
      </c>
      <c r="I19" s="1">
        <v>465000000</v>
      </c>
      <c r="J19" s="1">
        <v>290000000</v>
      </c>
      <c r="K19" s="1">
        <v>12000000000</v>
      </c>
      <c r="L19" s="1">
        <v>111000000</v>
      </c>
      <c r="M19" s="1">
        <v>535000000</v>
      </c>
      <c r="N19" s="1">
        <v>35500000000</v>
      </c>
    </row>
    <row r="20" spans="1:14" x14ac:dyDescent="0.2">
      <c r="A20" t="s">
        <v>14</v>
      </c>
      <c r="B20" s="1">
        <v>0</v>
      </c>
      <c r="C20" s="1">
        <v>118000000</v>
      </c>
      <c r="D20" s="1">
        <v>0</v>
      </c>
      <c r="E20" s="1">
        <v>79500000</v>
      </c>
      <c r="F20" s="1">
        <v>1280000000</v>
      </c>
      <c r="G20" s="1">
        <v>12000000</v>
      </c>
      <c r="H20" s="1">
        <v>657000</v>
      </c>
      <c r="I20" s="1">
        <v>0</v>
      </c>
      <c r="J20" s="1">
        <v>433000000</v>
      </c>
      <c r="K20" s="1">
        <v>2680000000</v>
      </c>
      <c r="L20" s="1">
        <v>0</v>
      </c>
      <c r="M20" s="1">
        <v>516000000</v>
      </c>
      <c r="N20" s="1">
        <v>5120000000</v>
      </c>
    </row>
    <row r="21" spans="1:14" x14ac:dyDescent="0.2">
      <c r="A21" t="s">
        <v>15</v>
      </c>
      <c r="B21" s="1">
        <v>0</v>
      </c>
      <c r="C21" s="1">
        <v>178000000</v>
      </c>
      <c r="D21" s="1">
        <v>0</v>
      </c>
      <c r="E21" s="1">
        <v>63000000</v>
      </c>
      <c r="F21" s="1">
        <v>1430000000</v>
      </c>
      <c r="G21" s="1">
        <v>16600000</v>
      </c>
      <c r="H21" s="1">
        <v>630000</v>
      </c>
      <c r="I21" s="1">
        <v>0</v>
      </c>
      <c r="J21" s="1">
        <v>400000000</v>
      </c>
      <c r="K21" s="1">
        <v>2750000000</v>
      </c>
      <c r="L21" s="1">
        <v>0</v>
      </c>
      <c r="M21" s="1">
        <v>832000000</v>
      </c>
      <c r="N21" s="1">
        <v>5660000000</v>
      </c>
    </row>
    <row r="22" spans="1:14" x14ac:dyDescent="0.2">
      <c r="A22" t="s">
        <v>16</v>
      </c>
      <c r="B22" s="1">
        <v>0</v>
      </c>
      <c r="C22" s="1">
        <v>95700000</v>
      </c>
      <c r="D22" s="1">
        <v>0</v>
      </c>
      <c r="E22" s="1">
        <v>73300000</v>
      </c>
      <c r="F22" s="1">
        <v>1360000000</v>
      </c>
      <c r="G22" s="1">
        <v>16000000</v>
      </c>
      <c r="H22" s="1">
        <v>17500000</v>
      </c>
      <c r="I22" s="1">
        <v>0</v>
      </c>
      <c r="J22" s="1">
        <v>338000000</v>
      </c>
      <c r="K22" s="1">
        <v>3190000000</v>
      </c>
      <c r="L22" s="1">
        <v>0</v>
      </c>
      <c r="M22" s="1">
        <v>504000000</v>
      </c>
      <c r="N22" s="1">
        <v>5590000000</v>
      </c>
    </row>
    <row r="23" spans="1:14" x14ac:dyDescent="0.2">
      <c r="A23" t="s">
        <v>49</v>
      </c>
      <c r="B23" s="1">
        <v>313000000</v>
      </c>
      <c r="C23" s="1">
        <v>0</v>
      </c>
      <c r="D23" s="1">
        <v>0</v>
      </c>
      <c r="E23" s="1">
        <v>4280000</v>
      </c>
      <c r="F23" s="1">
        <v>280000000</v>
      </c>
      <c r="G23" s="1">
        <v>19800000</v>
      </c>
      <c r="H23" s="1">
        <v>268000</v>
      </c>
      <c r="I23" s="1">
        <v>0</v>
      </c>
      <c r="J23" s="1">
        <v>143000000</v>
      </c>
      <c r="K23" s="1">
        <v>583000000</v>
      </c>
      <c r="L23" s="1">
        <v>0</v>
      </c>
      <c r="M23" s="1">
        <v>262000000</v>
      </c>
      <c r="N23" s="1">
        <v>1600000000</v>
      </c>
    </row>
    <row r="24" spans="1:14" x14ac:dyDescent="0.2">
      <c r="A24" t="s">
        <v>50</v>
      </c>
      <c r="B24" s="1">
        <v>263000000</v>
      </c>
      <c r="C24" s="1">
        <v>0</v>
      </c>
      <c r="D24" s="1">
        <v>0</v>
      </c>
      <c r="E24" s="1">
        <v>8050000</v>
      </c>
      <c r="F24" s="1">
        <v>135000000</v>
      </c>
      <c r="G24" s="1">
        <v>21600000</v>
      </c>
      <c r="H24" s="1">
        <v>337000</v>
      </c>
      <c r="I24" s="1">
        <v>0</v>
      </c>
      <c r="J24" s="1">
        <v>193000000</v>
      </c>
      <c r="K24" s="1">
        <v>513000000</v>
      </c>
      <c r="L24" s="1">
        <v>0</v>
      </c>
      <c r="M24" s="1">
        <v>370000000</v>
      </c>
      <c r="N24" s="1">
        <v>1500000000</v>
      </c>
    </row>
    <row r="25" spans="1:14" x14ac:dyDescent="0.2">
      <c r="A25" t="s">
        <v>51</v>
      </c>
      <c r="B25" s="1">
        <v>237000000</v>
      </c>
      <c r="C25" s="1">
        <v>0</v>
      </c>
      <c r="D25" s="1">
        <v>0</v>
      </c>
      <c r="E25" s="1">
        <v>5430000</v>
      </c>
      <c r="F25" s="1">
        <v>217000000</v>
      </c>
      <c r="G25" s="1">
        <v>18700000</v>
      </c>
      <c r="H25" s="1">
        <v>373000</v>
      </c>
      <c r="I25" s="1">
        <v>0</v>
      </c>
      <c r="J25" s="1">
        <v>155000000</v>
      </c>
      <c r="K25" s="1">
        <v>610000000</v>
      </c>
      <c r="L25" s="1">
        <v>0</v>
      </c>
      <c r="M25" s="1">
        <v>262000000</v>
      </c>
      <c r="N25" s="1">
        <v>1500000000</v>
      </c>
    </row>
    <row r="26" spans="1:14" x14ac:dyDescent="0.2">
      <c r="A26" t="s">
        <v>52</v>
      </c>
      <c r="B26" s="1">
        <v>0</v>
      </c>
      <c r="C26" s="1">
        <v>150000000</v>
      </c>
      <c r="D26" s="1">
        <v>0</v>
      </c>
      <c r="E26" s="1">
        <v>59300000</v>
      </c>
      <c r="F26" s="1">
        <v>460000000</v>
      </c>
      <c r="G26" s="1">
        <v>35000000</v>
      </c>
      <c r="H26" s="1">
        <v>295000</v>
      </c>
      <c r="I26" s="1">
        <v>2020000</v>
      </c>
      <c r="J26" s="1">
        <v>173000000</v>
      </c>
      <c r="K26" s="1">
        <v>1300000000</v>
      </c>
      <c r="L26" s="1">
        <v>0</v>
      </c>
      <c r="M26" s="1">
        <v>734000000</v>
      </c>
      <c r="N26" s="1">
        <v>2910000000</v>
      </c>
    </row>
    <row r="27" spans="1:14" x14ac:dyDescent="0.2">
      <c r="A27" t="s">
        <v>53</v>
      </c>
      <c r="B27" s="1">
        <v>0</v>
      </c>
      <c r="C27" s="1">
        <v>36300000</v>
      </c>
      <c r="D27" s="1">
        <v>0</v>
      </c>
      <c r="E27" s="1">
        <v>21300000</v>
      </c>
      <c r="F27" s="1">
        <v>309000000</v>
      </c>
      <c r="G27" s="1">
        <v>14400000</v>
      </c>
      <c r="H27" s="1">
        <v>231000</v>
      </c>
      <c r="I27" s="1">
        <v>0</v>
      </c>
      <c r="J27" s="1">
        <v>55000000</v>
      </c>
      <c r="K27" s="1">
        <v>1310000000</v>
      </c>
      <c r="L27" s="1">
        <v>0</v>
      </c>
      <c r="M27" s="1">
        <v>206000000</v>
      </c>
      <c r="N27" s="1">
        <v>1950000000</v>
      </c>
    </row>
    <row r="28" spans="1:14" x14ac:dyDescent="0.2">
      <c r="A28" t="s">
        <v>54</v>
      </c>
      <c r="B28" s="1">
        <v>0</v>
      </c>
      <c r="C28" s="1">
        <v>55300000</v>
      </c>
      <c r="D28" s="1">
        <v>0</v>
      </c>
      <c r="E28" s="1">
        <v>45300000</v>
      </c>
      <c r="F28" s="1">
        <v>367000000</v>
      </c>
      <c r="G28" s="1">
        <v>22800000</v>
      </c>
      <c r="H28" s="1">
        <v>257000</v>
      </c>
      <c r="I28" s="1">
        <v>0</v>
      </c>
      <c r="J28" s="1">
        <v>102000000</v>
      </c>
      <c r="K28" s="1">
        <v>1530000000</v>
      </c>
      <c r="L28" s="1">
        <v>0</v>
      </c>
      <c r="M28" s="1">
        <v>338000000</v>
      </c>
      <c r="N28" s="1">
        <v>2460000000</v>
      </c>
    </row>
    <row r="29" spans="1:14" x14ac:dyDescent="0.2">
      <c r="A29" t="s">
        <v>86</v>
      </c>
      <c r="B29" s="1">
        <v>210000000</v>
      </c>
      <c r="C29" s="1">
        <v>0</v>
      </c>
      <c r="D29" s="1">
        <v>0</v>
      </c>
      <c r="E29" s="1">
        <v>2780000</v>
      </c>
      <c r="F29" s="1">
        <v>271000000</v>
      </c>
      <c r="G29" s="1">
        <v>7640000</v>
      </c>
      <c r="H29" s="1">
        <v>91700</v>
      </c>
      <c r="I29" s="1">
        <v>0</v>
      </c>
      <c r="J29" s="1">
        <v>63300000</v>
      </c>
      <c r="K29" s="1">
        <v>242000000</v>
      </c>
      <c r="L29" s="1">
        <v>0</v>
      </c>
      <c r="M29" s="1">
        <v>806000000</v>
      </c>
      <c r="N29" s="1">
        <v>1600000000</v>
      </c>
    </row>
    <row r="30" spans="1:14" x14ac:dyDescent="0.2">
      <c r="A30" t="s">
        <v>87</v>
      </c>
      <c r="B30" s="1">
        <v>488000000</v>
      </c>
      <c r="C30" s="1">
        <v>0</v>
      </c>
      <c r="D30" s="1">
        <v>0</v>
      </c>
      <c r="E30" s="1">
        <v>5050000</v>
      </c>
      <c r="F30" s="1">
        <v>197000000</v>
      </c>
      <c r="G30" s="1">
        <v>16200000</v>
      </c>
      <c r="H30" s="1">
        <v>106000</v>
      </c>
      <c r="I30" s="1">
        <v>0</v>
      </c>
      <c r="J30" s="1">
        <v>135000000</v>
      </c>
      <c r="K30" s="1">
        <v>457000000</v>
      </c>
      <c r="L30" s="1">
        <v>0</v>
      </c>
      <c r="M30" s="1">
        <v>2020000000</v>
      </c>
      <c r="N30" s="1">
        <v>3320000000</v>
      </c>
    </row>
    <row r="31" spans="1:14" x14ac:dyDescent="0.2">
      <c r="A31" t="s">
        <v>88</v>
      </c>
      <c r="B31" s="1">
        <v>420000000</v>
      </c>
      <c r="C31" s="1">
        <v>0</v>
      </c>
      <c r="D31" s="1">
        <v>0</v>
      </c>
      <c r="E31" s="1">
        <v>7350000</v>
      </c>
      <c r="F31" s="1">
        <v>64000000</v>
      </c>
      <c r="G31" s="1">
        <v>13900000</v>
      </c>
      <c r="H31" s="1">
        <v>85300</v>
      </c>
      <c r="I31" s="1">
        <v>0</v>
      </c>
      <c r="J31" s="1">
        <v>112000000</v>
      </c>
      <c r="K31" s="1">
        <v>360000000</v>
      </c>
      <c r="L31" s="1">
        <v>0</v>
      </c>
      <c r="M31" s="1">
        <v>1190000000</v>
      </c>
      <c r="N31" s="1">
        <v>2170000000</v>
      </c>
    </row>
    <row r="32" spans="1:14" x14ac:dyDescent="0.2">
      <c r="A32" t="s">
        <v>89</v>
      </c>
      <c r="B32" s="1">
        <v>0</v>
      </c>
      <c r="C32" s="1">
        <v>196000000</v>
      </c>
      <c r="D32" s="1">
        <v>0</v>
      </c>
      <c r="E32" s="1">
        <v>27100000</v>
      </c>
      <c r="F32" s="1">
        <v>832000000</v>
      </c>
      <c r="G32" s="1">
        <v>14800000</v>
      </c>
      <c r="H32" s="1">
        <v>905000</v>
      </c>
      <c r="I32" s="1">
        <v>0</v>
      </c>
      <c r="J32" s="1">
        <v>654000000</v>
      </c>
      <c r="K32" s="1">
        <v>1810000000</v>
      </c>
      <c r="L32" s="1">
        <v>0</v>
      </c>
      <c r="M32" s="1">
        <v>640000000</v>
      </c>
      <c r="N32" s="1">
        <v>4170000000</v>
      </c>
    </row>
    <row r="33" spans="1:14" x14ac:dyDescent="0.2">
      <c r="A33" t="s">
        <v>90</v>
      </c>
      <c r="B33" s="1">
        <v>0</v>
      </c>
      <c r="C33" s="1">
        <v>148000000</v>
      </c>
      <c r="D33" s="1">
        <v>0</v>
      </c>
      <c r="E33" s="1">
        <v>19400000</v>
      </c>
      <c r="F33" s="1">
        <v>852000000</v>
      </c>
      <c r="G33" s="1">
        <v>12900000</v>
      </c>
      <c r="H33" s="1">
        <v>593000</v>
      </c>
      <c r="I33" s="1">
        <v>0</v>
      </c>
      <c r="J33" s="1">
        <v>475000000</v>
      </c>
      <c r="K33" s="1">
        <v>1990000000</v>
      </c>
      <c r="L33" s="1">
        <v>0</v>
      </c>
      <c r="M33" s="1">
        <v>328000000</v>
      </c>
      <c r="N33" s="1">
        <v>3820000000</v>
      </c>
    </row>
    <row r="34" spans="1:14" x14ac:dyDescent="0.2">
      <c r="A34" t="s">
        <v>91</v>
      </c>
      <c r="B34" s="1">
        <v>0</v>
      </c>
      <c r="C34" s="1">
        <v>122000000</v>
      </c>
      <c r="D34" s="1">
        <v>0</v>
      </c>
      <c r="E34" s="1">
        <v>16900000</v>
      </c>
      <c r="F34" s="1">
        <v>654000000</v>
      </c>
      <c r="G34" s="1">
        <v>12500000</v>
      </c>
      <c r="H34" s="1">
        <v>264000</v>
      </c>
      <c r="I34" s="1">
        <v>0</v>
      </c>
      <c r="J34" s="1">
        <v>276000000</v>
      </c>
      <c r="K34" s="1">
        <v>1630000000</v>
      </c>
      <c r="L34" s="1">
        <v>0</v>
      </c>
      <c r="M34" s="1">
        <v>216000000</v>
      </c>
      <c r="N34" s="1">
        <v>2930000000</v>
      </c>
    </row>
    <row r="35" spans="1:14" x14ac:dyDescent="0.2">
      <c r="A35" t="s">
        <v>125</v>
      </c>
      <c r="B35" s="1">
        <v>55300000</v>
      </c>
      <c r="C35" s="1">
        <v>0</v>
      </c>
      <c r="D35" s="1">
        <v>0</v>
      </c>
      <c r="E35" s="1">
        <v>294000</v>
      </c>
      <c r="F35" s="1">
        <v>148000000</v>
      </c>
      <c r="G35" s="1">
        <v>6300000</v>
      </c>
      <c r="H35" s="1">
        <v>293000</v>
      </c>
      <c r="I35" s="1">
        <v>0</v>
      </c>
      <c r="J35" s="1">
        <v>23900000</v>
      </c>
      <c r="K35" s="1">
        <v>115000000</v>
      </c>
      <c r="L35" s="1">
        <v>0</v>
      </c>
      <c r="M35" s="1">
        <v>131000000</v>
      </c>
      <c r="N35" s="1">
        <v>480000000</v>
      </c>
    </row>
    <row r="36" spans="1:14" x14ac:dyDescent="0.2">
      <c r="A36" t="s">
        <v>126</v>
      </c>
      <c r="B36" s="1">
        <v>78900000</v>
      </c>
      <c r="C36" s="1">
        <v>0</v>
      </c>
      <c r="D36" s="1">
        <v>0</v>
      </c>
      <c r="E36" s="1">
        <v>731000</v>
      </c>
      <c r="F36" s="1">
        <v>211000000</v>
      </c>
      <c r="G36" s="1">
        <v>8780000</v>
      </c>
      <c r="H36" s="1">
        <v>443000</v>
      </c>
      <c r="I36" s="1">
        <v>0</v>
      </c>
      <c r="J36" s="1">
        <v>44900000</v>
      </c>
      <c r="K36" s="1">
        <v>152000000</v>
      </c>
      <c r="L36" s="1">
        <v>0</v>
      </c>
      <c r="M36" s="1">
        <v>273000000</v>
      </c>
      <c r="N36" s="1">
        <v>770000000</v>
      </c>
    </row>
    <row r="37" spans="1:14" x14ac:dyDescent="0.2">
      <c r="A37" t="s">
        <v>127</v>
      </c>
      <c r="B37" s="1">
        <v>15900000</v>
      </c>
      <c r="C37" s="1">
        <v>0</v>
      </c>
      <c r="D37" s="1">
        <v>0</v>
      </c>
      <c r="E37" s="1">
        <v>4220000</v>
      </c>
      <c r="F37" s="1">
        <v>125000000</v>
      </c>
      <c r="G37" s="1">
        <v>5440000</v>
      </c>
      <c r="H37" s="1">
        <v>238000</v>
      </c>
      <c r="I37" s="1">
        <v>0</v>
      </c>
      <c r="J37" s="1">
        <v>19600000</v>
      </c>
      <c r="K37" s="1">
        <v>79100000</v>
      </c>
      <c r="L37" s="1">
        <v>0</v>
      </c>
      <c r="M37" s="1">
        <v>93700000</v>
      </c>
      <c r="N37" s="1">
        <v>343000000</v>
      </c>
    </row>
    <row r="38" spans="1:14" x14ac:dyDescent="0.2">
      <c r="A38" t="s">
        <v>128</v>
      </c>
      <c r="B38" s="1">
        <v>0</v>
      </c>
      <c r="C38" s="1">
        <v>457000000</v>
      </c>
      <c r="D38" s="1">
        <v>0</v>
      </c>
      <c r="E38" s="1">
        <v>0</v>
      </c>
      <c r="F38" s="1">
        <v>595000000</v>
      </c>
      <c r="G38" s="1">
        <v>2400000</v>
      </c>
      <c r="H38" s="1">
        <v>5370000</v>
      </c>
      <c r="I38" s="1">
        <v>8500000</v>
      </c>
      <c r="J38" s="1">
        <v>122000000</v>
      </c>
      <c r="K38" s="1">
        <v>4400000000</v>
      </c>
      <c r="L38" s="1">
        <v>3220000</v>
      </c>
      <c r="M38" s="1">
        <v>460000000</v>
      </c>
      <c r="N38" s="1">
        <v>6050000000</v>
      </c>
    </row>
    <row r="39" spans="1:14" x14ac:dyDescent="0.2">
      <c r="A39" t="s">
        <v>129</v>
      </c>
      <c r="B39" s="1">
        <v>0</v>
      </c>
      <c r="C39" s="1">
        <v>72000000</v>
      </c>
      <c r="D39" s="1">
        <v>0</v>
      </c>
      <c r="E39" s="1">
        <v>0</v>
      </c>
      <c r="F39" s="1">
        <v>710000000</v>
      </c>
      <c r="G39" s="1">
        <v>1510000</v>
      </c>
      <c r="H39" s="1">
        <v>54300000</v>
      </c>
      <c r="I39" s="1">
        <v>0</v>
      </c>
      <c r="J39" s="1">
        <v>290000000</v>
      </c>
      <c r="K39" s="1">
        <v>7100000000</v>
      </c>
      <c r="L39" s="1">
        <v>485000</v>
      </c>
      <c r="M39" s="1">
        <v>1830000000</v>
      </c>
      <c r="N39" s="1">
        <v>10100000000</v>
      </c>
    </row>
    <row r="40" spans="1:14" x14ac:dyDescent="0.2">
      <c r="A40" t="s">
        <v>163</v>
      </c>
      <c r="B40" s="1">
        <v>405000000</v>
      </c>
      <c r="C40" s="1">
        <v>0</v>
      </c>
      <c r="D40" s="1">
        <v>0</v>
      </c>
      <c r="E40" s="1">
        <v>0</v>
      </c>
      <c r="F40" s="1">
        <v>1070000000</v>
      </c>
      <c r="G40" s="1">
        <v>32800000</v>
      </c>
      <c r="H40" s="1">
        <v>36000000</v>
      </c>
      <c r="I40" s="1">
        <v>96800000</v>
      </c>
      <c r="J40" s="1">
        <v>48500000</v>
      </c>
      <c r="K40" s="1">
        <v>10000000000</v>
      </c>
      <c r="L40" s="1">
        <v>0</v>
      </c>
      <c r="M40" s="1">
        <v>1300000000</v>
      </c>
      <c r="N40" s="1">
        <v>13000000000</v>
      </c>
    </row>
    <row r="41" spans="1:14" x14ac:dyDescent="0.2">
      <c r="A41" t="s">
        <v>164</v>
      </c>
      <c r="B41" s="1">
        <v>540000000</v>
      </c>
      <c r="C41" s="1">
        <v>343000</v>
      </c>
      <c r="D41" s="1">
        <v>0</v>
      </c>
      <c r="E41" s="1">
        <v>0</v>
      </c>
      <c r="F41" s="1">
        <v>1490000000</v>
      </c>
      <c r="G41" s="1">
        <v>42000000</v>
      </c>
      <c r="H41" s="1">
        <v>47700000</v>
      </c>
      <c r="I41" s="1">
        <v>108000000</v>
      </c>
      <c r="J41" s="1">
        <v>60000000</v>
      </c>
      <c r="K41" s="1">
        <v>16600000000</v>
      </c>
      <c r="L41" s="1">
        <v>0</v>
      </c>
      <c r="M41" s="1">
        <v>1810000000</v>
      </c>
      <c r="N41" s="1">
        <v>20700000000</v>
      </c>
    </row>
    <row r="42" spans="1:14" x14ac:dyDescent="0.2">
      <c r="A42" t="s">
        <v>165</v>
      </c>
      <c r="B42" s="1">
        <v>1040000000</v>
      </c>
      <c r="C42" s="1">
        <v>0</v>
      </c>
      <c r="D42" s="1">
        <v>0</v>
      </c>
      <c r="E42" s="1">
        <v>0</v>
      </c>
      <c r="F42" s="1">
        <v>2130000000</v>
      </c>
      <c r="G42" s="1">
        <v>60000000</v>
      </c>
      <c r="H42" s="1">
        <v>147000000</v>
      </c>
      <c r="I42" s="1">
        <v>18000000</v>
      </c>
      <c r="J42" s="1">
        <v>117000000</v>
      </c>
      <c r="K42" s="1">
        <v>20800000000</v>
      </c>
      <c r="L42" s="1">
        <v>0</v>
      </c>
      <c r="M42" s="1">
        <v>3840000000</v>
      </c>
      <c r="N42" s="1">
        <v>28100000000</v>
      </c>
    </row>
    <row r="43" spans="1:14" x14ac:dyDescent="0.2">
      <c r="A43" t="s">
        <v>166</v>
      </c>
      <c r="B43" s="1">
        <v>84300000</v>
      </c>
      <c r="C43" s="1">
        <v>0</v>
      </c>
      <c r="D43" s="1">
        <v>0</v>
      </c>
      <c r="E43" s="1">
        <v>0</v>
      </c>
      <c r="F43" s="1">
        <v>975000000</v>
      </c>
      <c r="G43" s="1">
        <v>26200000</v>
      </c>
      <c r="H43" s="1">
        <v>13000000</v>
      </c>
      <c r="I43" s="1">
        <v>252000000</v>
      </c>
      <c r="J43" s="1">
        <v>31500000</v>
      </c>
      <c r="K43" s="1">
        <v>7830000000</v>
      </c>
      <c r="L43" s="1">
        <v>0</v>
      </c>
      <c r="M43" s="1">
        <v>1310000000</v>
      </c>
      <c r="N43" s="1">
        <v>10500000000</v>
      </c>
    </row>
    <row r="44" spans="1:14" x14ac:dyDescent="0.2">
      <c r="A44" t="s">
        <v>167</v>
      </c>
      <c r="B44" s="1">
        <v>31500000</v>
      </c>
      <c r="C44" s="1">
        <v>0</v>
      </c>
      <c r="D44" s="1">
        <v>0</v>
      </c>
      <c r="E44" s="1">
        <v>0</v>
      </c>
      <c r="F44" s="1">
        <v>1320000000</v>
      </c>
      <c r="G44" s="1">
        <v>29000000</v>
      </c>
      <c r="H44" s="1">
        <v>18500000</v>
      </c>
      <c r="I44" s="1">
        <v>235000000</v>
      </c>
      <c r="J44" s="1">
        <v>17900000</v>
      </c>
      <c r="K44" s="1">
        <v>11100000000</v>
      </c>
      <c r="L44" s="1">
        <v>0</v>
      </c>
      <c r="M44" s="1">
        <v>1360000000</v>
      </c>
      <c r="N44" s="1">
        <v>14100000000</v>
      </c>
    </row>
    <row r="45" spans="1:14" x14ac:dyDescent="0.2">
      <c r="A45" t="s">
        <v>168</v>
      </c>
      <c r="B45" s="1">
        <v>153000000</v>
      </c>
      <c r="C45" s="1">
        <v>0</v>
      </c>
      <c r="D45" s="1">
        <v>0</v>
      </c>
      <c r="E45" s="1">
        <v>0</v>
      </c>
      <c r="F45" s="1">
        <v>910000000</v>
      </c>
      <c r="G45" s="1">
        <v>13000000</v>
      </c>
      <c r="H45" s="1">
        <v>37700000</v>
      </c>
      <c r="I45" s="1">
        <v>41300000</v>
      </c>
      <c r="J45" s="1">
        <v>15100000</v>
      </c>
      <c r="K45" s="1">
        <v>5970000000</v>
      </c>
      <c r="L45" s="1">
        <v>0</v>
      </c>
      <c r="M45" s="1">
        <v>1630000000</v>
      </c>
      <c r="N45" s="1">
        <v>8770000000</v>
      </c>
    </row>
    <row r="46" spans="1:14" x14ac:dyDescent="0.2">
      <c r="A46" t="s">
        <v>169</v>
      </c>
      <c r="B46" s="1">
        <v>0</v>
      </c>
      <c r="C46" s="1">
        <v>130000000</v>
      </c>
      <c r="D46" s="1">
        <v>0</v>
      </c>
      <c r="E46" s="1">
        <v>0</v>
      </c>
      <c r="F46" s="1">
        <v>1430000000</v>
      </c>
      <c r="G46" s="1">
        <v>36200000</v>
      </c>
      <c r="H46" s="1">
        <v>547000</v>
      </c>
      <c r="I46" s="1">
        <v>99500000</v>
      </c>
      <c r="J46" s="1">
        <v>323000000</v>
      </c>
      <c r="K46" s="1">
        <v>11400000000</v>
      </c>
      <c r="L46" s="1">
        <v>11400000</v>
      </c>
      <c r="M46" s="1">
        <v>2220000000</v>
      </c>
      <c r="N46" s="1">
        <v>15700000000</v>
      </c>
    </row>
    <row r="47" spans="1:14" x14ac:dyDescent="0.2">
      <c r="A47" t="s">
        <v>170</v>
      </c>
      <c r="B47" s="1">
        <v>0</v>
      </c>
      <c r="C47" s="1">
        <v>60000000</v>
      </c>
      <c r="D47" s="1">
        <v>0</v>
      </c>
      <c r="E47" s="1">
        <v>0</v>
      </c>
      <c r="F47" s="1">
        <v>965000000</v>
      </c>
      <c r="G47" s="1">
        <v>31000000</v>
      </c>
      <c r="H47" s="1">
        <v>317000</v>
      </c>
      <c r="I47" s="1">
        <v>38800000</v>
      </c>
      <c r="J47" s="1">
        <v>183000000</v>
      </c>
      <c r="K47" s="1">
        <v>7170000000</v>
      </c>
      <c r="L47" s="1">
        <v>5450000</v>
      </c>
      <c r="M47" s="1">
        <v>1830000000</v>
      </c>
      <c r="N47" s="1">
        <v>10300000000</v>
      </c>
    </row>
    <row r="48" spans="1:14" x14ac:dyDescent="0.2">
      <c r="A48" t="s">
        <v>171</v>
      </c>
      <c r="B48" s="1">
        <v>0</v>
      </c>
      <c r="C48" s="1">
        <v>0</v>
      </c>
      <c r="D48" s="1">
        <v>0</v>
      </c>
      <c r="E48" s="1">
        <v>0</v>
      </c>
      <c r="F48" s="1">
        <v>930000000</v>
      </c>
      <c r="G48" s="1">
        <v>25400000</v>
      </c>
      <c r="H48" s="1">
        <v>2880000</v>
      </c>
      <c r="I48" s="1">
        <v>36800000</v>
      </c>
      <c r="J48" s="1">
        <v>182000000</v>
      </c>
      <c r="K48" s="1">
        <v>6670000000</v>
      </c>
      <c r="L48" s="1">
        <v>470000</v>
      </c>
      <c r="M48" s="1">
        <v>674000000</v>
      </c>
      <c r="N48" s="1">
        <v>8520000000</v>
      </c>
    </row>
    <row r="49" spans="1:14" x14ac:dyDescent="0.2">
      <c r="A49" t="s">
        <v>199</v>
      </c>
      <c r="B49" s="1">
        <v>0</v>
      </c>
      <c r="C49" s="1">
        <v>16400000</v>
      </c>
      <c r="D49" s="1">
        <v>0</v>
      </c>
      <c r="E49" s="1">
        <v>0</v>
      </c>
      <c r="F49" s="1">
        <v>299000000</v>
      </c>
      <c r="G49" s="1">
        <v>6080000</v>
      </c>
      <c r="H49" s="1">
        <v>4470000</v>
      </c>
      <c r="I49" s="1">
        <v>122000000</v>
      </c>
      <c r="J49" s="1">
        <v>102000000</v>
      </c>
      <c r="K49" s="1">
        <v>1080000000</v>
      </c>
      <c r="L49" s="1">
        <v>3830000</v>
      </c>
      <c r="M49" s="1">
        <v>380000000</v>
      </c>
      <c r="N49" s="1">
        <v>2010000000</v>
      </c>
    </row>
    <row r="50" spans="1:14" x14ac:dyDescent="0.2">
      <c r="A50" t="s">
        <v>200</v>
      </c>
      <c r="B50" s="1">
        <v>0</v>
      </c>
      <c r="C50" s="1">
        <v>17700000</v>
      </c>
      <c r="D50" s="1">
        <v>0</v>
      </c>
      <c r="E50" s="1">
        <v>0</v>
      </c>
      <c r="F50" s="1">
        <v>432000000</v>
      </c>
      <c r="G50" s="1">
        <v>9900000</v>
      </c>
      <c r="H50" s="1">
        <v>9070000</v>
      </c>
      <c r="I50" s="1">
        <v>106000000</v>
      </c>
      <c r="J50" s="1">
        <v>159000000</v>
      </c>
      <c r="K50" s="1">
        <v>2370000000</v>
      </c>
      <c r="L50" s="1">
        <v>17500000</v>
      </c>
      <c r="M50" s="1">
        <v>404000000</v>
      </c>
      <c r="N50" s="1">
        <v>3530000000</v>
      </c>
    </row>
    <row r="51" spans="1:14" x14ac:dyDescent="0.2">
      <c r="A51" t="s">
        <v>201</v>
      </c>
      <c r="B51" s="1">
        <v>0</v>
      </c>
      <c r="C51" s="1">
        <v>46300000</v>
      </c>
      <c r="D51" s="1">
        <v>0</v>
      </c>
      <c r="E51" s="1">
        <v>0</v>
      </c>
      <c r="F51" s="1">
        <v>350000000</v>
      </c>
      <c r="G51" s="1">
        <v>8300000</v>
      </c>
      <c r="H51" s="1">
        <v>6870000</v>
      </c>
      <c r="I51" s="1">
        <v>6450000</v>
      </c>
      <c r="J51" s="1">
        <v>33500000</v>
      </c>
      <c r="K51" s="1">
        <v>1700000000</v>
      </c>
      <c r="L51" s="1">
        <v>11600000</v>
      </c>
      <c r="M51" s="1">
        <v>602000000</v>
      </c>
      <c r="N51" s="1">
        <v>2770000000</v>
      </c>
    </row>
    <row r="52" spans="1:14" x14ac:dyDescent="0.2">
      <c r="A52" t="s">
        <v>233</v>
      </c>
      <c r="B52" s="1">
        <v>48800000</v>
      </c>
      <c r="C52" s="1">
        <v>0</v>
      </c>
      <c r="D52" s="1">
        <v>0</v>
      </c>
      <c r="E52" s="1">
        <v>0</v>
      </c>
      <c r="F52" s="1">
        <v>355000000</v>
      </c>
      <c r="G52" s="1">
        <v>13400000</v>
      </c>
      <c r="H52" s="1">
        <v>15800000</v>
      </c>
      <c r="I52" s="1">
        <v>0</v>
      </c>
      <c r="J52" s="1">
        <v>12100000</v>
      </c>
      <c r="K52" s="1">
        <v>2440000000</v>
      </c>
      <c r="L52" s="1">
        <v>0</v>
      </c>
      <c r="M52" s="1">
        <v>506000000</v>
      </c>
      <c r="N52" s="1">
        <v>3390000000</v>
      </c>
    </row>
    <row r="53" spans="1:14" x14ac:dyDescent="0.2">
      <c r="A53" t="s">
        <v>234</v>
      </c>
      <c r="B53" s="1">
        <v>32300000</v>
      </c>
      <c r="C53" s="1">
        <v>0</v>
      </c>
      <c r="D53" s="1">
        <v>0</v>
      </c>
      <c r="E53" s="1">
        <v>0</v>
      </c>
      <c r="F53" s="1">
        <v>391000000</v>
      </c>
      <c r="G53" s="1">
        <v>14300000</v>
      </c>
      <c r="H53" s="1">
        <v>22100000</v>
      </c>
      <c r="I53" s="1">
        <v>0</v>
      </c>
      <c r="J53" s="1">
        <v>16800000</v>
      </c>
      <c r="K53" s="1">
        <v>2440000000</v>
      </c>
      <c r="L53" s="1">
        <v>0</v>
      </c>
      <c r="M53" s="1">
        <v>448000000</v>
      </c>
      <c r="N53" s="1">
        <v>3360000000</v>
      </c>
    </row>
    <row r="54" spans="1:14" x14ac:dyDescent="0.2">
      <c r="A54" t="s">
        <v>235</v>
      </c>
      <c r="B54" s="1">
        <v>111000000</v>
      </c>
      <c r="C54" s="1">
        <v>0</v>
      </c>
      <c r="D54" s="1">
        <v>0</v>
      </c>
      <c r="E54" s="1">
        <v>0</v>
      </c>
      <c r="F54" s="1">
        <v>495000000</v>
      </c>
      <c r="G54" s="1">
        <v>16400000</v>
      </c>
      <c r="H54" s="1">
        <v>30500000</v>
      </c>
      <c r="I54" s="1">
        <v>0</v>
      </c>
      <c r="J54" s="1">
        <v>8400000</v>
      </c>
      <c r="K54" s="1">
        <v>3770000000</v>
      </c>
      <c r="L54" s="1">
        <v>0</v>
      </c>
      <c r="M54" s="1">
        <v>670000000</v>
      </c>
      <c r="N54" s="1">
        <v>5100000000</v>
      </c>
    </row>
    <row r="55" spans="1:14" x14ac:dyDescent="0.2">
      <c r="A55" t="s">
        <v>273</v>
      </c>
      <c r="B55" s="1">
        <v>103000000</v>
      </c>
      <c r="C55" s="1">
        <v>5130000</v>
      </c>
      <c r="D55" s="1">
        <v>0</v>
      </c>
      <c r="E55" s="1">
        <v>36000000</v>
      </c>
      <c r="F55" s="1">
        <v>2380000000</v>
      </c>
      <c r="G55" s="1">
        <v>58800000</v>
      </c>
      <c r="H55" s="1">
        <v>260000000</v>
      </c>
      <c r="I55" s="1">
        <v>470000000</v>
      </c>
      <c r="J55" s="1">
        <v>87500000</v>
      </c>
      <c r="K55" s="1">
        <v>14500000000</v>
      </c>
      <c r="L55" s="1">
        <v>0</v>
      </c>
      <c r="M55" s="1">
        <v>334000000</v>
      </c>
      <c r="N55" s="1">
        <v>18300000000</v>
      </c>
    </row>
    <row r="56" spans="1:14" x14ac:dyDescent="0.2">
      <c r="A56" t="s">
        <v>274</v>
      </c>
      <c r="B56" s="1">
        <v>46500000</v>
      </c>
      <c r="C56" s="1">
        <v>2860000</v>
      </c>
      <c r="D56" s="1">
        <v>0</v>
      </c>
      <c r="E56" s="1">
        <v>19800000</v>
      </c>
      <c r="F56" s="1">
        <v>965000000</v>
      </c>
      <c r="G56" s="1">
        <v>31200000</v>
      </c>
      <c r="H56" s="1">
        <v>16800000</v>
      </c>
      <c r="I56" s="1">
        <v>228000000</v>
      </c>
      <c r="J56" s="1">
        <v>36800000</v>
      </c>
      <c r="K56" s="1">
        <v>7200000000</v>
      </c>
      <c r="L56" s="1">
        <v>0</v>
      </c>
      <c r="M56" s="1">
        <v>171000000</v>
      </c>
      <c r="N56" s="1">
        <v>8720000000</v>
      </c>
    </row>
    <row r="57" spans="1:14" x14ac:dyDescent="0.2">
      <c r="A57" t="s">
        <v>275</v>
      </c>
      <c r="B57" s="1">
        <v>33300000</v>
      </c>
      <c r="C57" s="1">
        <v>1290000</v>
      </c>
      <c r="D57" s="1">
        <v>0</v>
      </c>
      <c r="E57" s="1">
        <v>13600000</v>
      </c>
      <c r="F57" s="1">
        <v>795000000</v>
      </c>
      <c r="G57" s="1">
        <v>22200000</v>
      </c>
      <c r="H57" s="1">
        <v>13900000</v>
      </c>
      <c r="I57" s="1">
        <v>197000000</v>
      </c>
      <c r="J57" s="1">
        <v>28500000</v>
      </c>
      <c r="K57" s="1">
        <v>6070000000</v>
      </c>
      <c r="L57" s="1">
        <v>0</v>
      </c>
      <c r="M57" s="1">
        <v>109000000</v>
      </c>
      <c r="N57" s="1">
        <v>7280000000</v>
      </c>
    </row>
    <row r="58" spans="1:14" x14ac:dyDescent="0.2">
      <c r="A58" t="s">
        <v>276</v>
      </c>
      <c r="B58" s="1">
        <v>38000000</v>
      </c>
      <c r="C58" s="1">
        <v>1490000</v>
      </c>
      <c r="D58" s="1">
        <v>0</v>
      </c>
      <c r="E58" s="1">
        <v>33500000</v>
      </c>
      <c r="F58" s="1">
        <v>625000000</v>
      </c>
      <c r="G58" s="1">
        <v>21400000</v>
      </c>
      <c r="H58" s="1">
        <v>10300000</v>
      </c>
      <c r="I58" s="1">
        <v>182000000</v>
      </c>
      <c r="J58" s="1">
        <v>28300000</v>
      </c>
      <c r="K58" s="1">
        <v>5730000000</v>
      </c>
      <c r="L58" s="1">
        <v>0</v>
      </c>
      <c r="M58" s="1">
        <v>242000000</v>
      </c>
      <c r="N58" s="1">
        <v>6910000000</v>
      </c>
    </row>
    <row r="59" spans="1:14" x14ac:dyDescent="0.2">
      <c r="A59" t="s">
        <v>277</v>
      </c>
      <c r="B59" s="1">
        <v>14800000</v>
      </c>
      <c r="C59" s="1">
        <v>298000</v>
      </c>
      <c r="D59" s="1">
        <v>0</v>
      </c>
      <c r="E59" s="1">
        <v>14500000</v>
      </c>
      <c r="F59" s="1">
        <v>223000000</v>
      </c>
      <c r="G59" s="1">
        <v>9000000</v>
      </c>
      <c r="H59" s="1">
        <v>5430000</v>
      </c>
      <c r="I59" s="1">
        <v>83300000</v>
      </c>
      <c r="J59" s="1">
        <v>9000000</v>
      </c>
      <c r="K59" s="1">
        <v>2510000000</v>
      </c>
      <c r="L59" s="1">
        <v>0</v>
      </c>
      <c r="M59" s="1">
        <v>85000000</v>
      </c>
      <c r="N59" s="1">
        <v>2950000000</v>
      </c>
    </row>
    <row r="60" spans="1:14" x14ac:dyDescent="0.2">
      <c r="A60" t="s">
        <v>278</v>
      </c>
      <c r="B60" s="1">
        <v>49300000</v>
      </c>
      <c r="C60" s="1">
        <v>803000</v>
      </c>
      <c r="D60" s="1">
        <v>0</v>
      </c>
      <c r="E60" s="1">
        <v>29800000</v>
      </c>
      <c r="F60" s="1">
        <v>690000000</v>
      </c>
      <c r="G60" s="1">
        <v>21000000</v>
      </c>
      <c r="H60" s="1">
        <v>12200000</v>
      </c>
      <c r="I60" s="1">
        <v>182000000</v>
      </c>
      <c r="J60" s="1">
        <v>24500000</v>
      </c>
      <c r="K60" s="1">
        <v>6000000000</v>
      </c>
      <c r="L60" s="1">
        <v>0</v>
      </c>
      <c r="M60" s="1">
        <v>208000000</v>
      </c>
      <c r="N60" s="1">
        <v>7220000000</v>
      </c>
    </row>
    <row r="61" spans="1:14" x14ac:dyDescent="0.2">
      <c r="A61" t="s">
        <v>279</v>
      </c>
      <c r="B61" s="1">
        <v>78500000</v>
      </c>
      <c r="C61" s="1">
        <v>2820000</v>
      </c>
      <c r="D61" s="1">
        <v>0</v>
      </c>
      <c r="E61" s="1">
        <v>93500000</v>
      </c>
      <c r="F61" s="1">
        <v>2570000000</v>
      </c>
      <c r="G61" s="1">
        <v>51600000</v>
      </c>
      <c r="H61" s="1">
        <v>40000000</v>
      </c>
      <c r="I61" s="1">
        <v>610000000</v>
      </c>
      <c r="J61" s="1">
        <v>72500000</v>
      </c>
      <c r="K61" s="1">
        <v>16800000000</v>
      </c>
      <c r="L61" s="1">
        <v>0</v>
      </c>
      <c r="M61" s="1">
        <v>532000000</v>
      </c>
      <c r="N61" s="1">
        <v>20800000000</v>
      </c>
    </row>
    <row r="62" spans="1:14" x14ac:dyDescent="0.2">
      <c r="A62" t="s">
        <v>280</v>
      </c>
      <c r="B62" s="1">
        <v>19600000</v>
      </c>
      <c r="C62" s="1">
        <v>803000</v>
      </c>
      <c r="D62" s="1">
        <v>0</v>
      </c>
      <c r="E62" s="1">
        <v>33500000</v>
      </c>
      <c r="F62" s="1">
        <v>670000000</v>
      </c>
      <c r="G62" s="1">
        <v>17600000</v>
      </c>
      <c r="H62" s="1">
        <v>12300000</v>
      </c>
      <c r="I62" s="1">
        <v>207000000</v>
      </c>
      <c r="J62" s="1">
        <v>18000000</v>
      </c>
      <c r="K62" s="1">
        <v>5530000000</v>
      </c>
      <c r="L62" s="1">
        <v>0</v>
      </c>
      <c r="M62" s="1">
        <v>185000000</v>
      </c>
      <c r="N62" s="1">
        <v>6700000000</v>
      </c>
    </row>
    <row r="63" spans="1:14" x14ac:dyDescent="0.2">
      <c r="A63" t="s">
        <v>281</v>
      </c>
      <c r="B63" s="1">
        <v>109000000</v>
      </c>
      <c r="C63" s="1">
        <v>593000</v>
      </c>
      <c r="D63" s="1">
        <v>0</v>
      </c>
      <c r="E63" s="1">
        <v>28800000</v>
      </c>
      <c r="F63" s="1">
        <v>720000000</v>
      </c>
      <c r="G63" s="1">
        <v>16100000</v>
      </c>
      <c r="H63" s="1">
        <v>14200000</v>
      </c>
      <c r="I63" s="1">
        <v>188000000</v>
      </c>
      <c r="J63" s="1">
        <v>15600000</v>
      </c>
      <c r="K63" s="1">
        <v>6070000000</v>
      </c>
      <c r="L63" s="1">
        <v>0</v>
      </c>
      <c r="M63" s="1">
        <v>179000000</v>
      </c>
      <c r="N63" s="1">
        <v>7340000000</v>
      </c>
    </row>
    <row r="64" spans="1:14" x14ac:dyDescent="0.2">
      <c r="A64" t="s">
        <v>282</v>
      </c>
      <c r="B64" s="1">
        <v>240000000</v>
      </c>
      <c r="C64" s="1">
        <v>45000000</v>
      </c>
      <c r="D64" s="1">
        <v>0</v>
      </c>
      <c r="E64" s="1">
        <v>4550000</v>
      </c>
      <c r="F64" s="1">
        <v>755000000</v>
      </c>
      <c r="G64" s="1">
        <v>3520000</v>
      </c>
      <c r="H64" s="1">
        <v>26100</v>
      </c>
      <c r="I64" s="1">
        <v>8800000</v>
      </c>
      <c r="J64" s="1">
        <v>38000000</v>
      </c>
      <c r="K64" s="1">
        <v>90700000</v>
      </c>
      <c r="L64" s="1">
        <v>0</v>
      </c>
      <c r="M64" s="1">
        <v>193000000</v>
      </c>
      <c r="N64" s="1">
        <v>1380000000</v>
      </c>
    </row>
    <row r="65" spans="1:14" x14ac:dyDescent="0.2">
      <c r="A65" t="s">
        <v>283</v>
      </c>
      <c r="B65" s="1">
        <v>88800000</v>
      </c>
      <c r="C65" s="1">
        <v>10100000</v>
      </c>
      <c r="D65" s="1">
        <v>0</v>
      </c>
      <c r="E65" s="1">
        <v>7850000</v>
      </c>
      <c r="F65" s="1">
        <v>430000000</v>
      </c>
      <c r="G65" s="1">
        <v>1930000</v>
      </c>
      <c r="H65" s="1">
        <v>17300</v>
      </c>
      <c r="I65" s="1">
        <v>803000</v>
      </c>
      <c r="J65" s="1">
        <v>21100000</v>
      </c>
      <c r="K65" s="1">
        <v>57000000</v>
      </c>
      <c r="L65" s="1">
        <v>0</v>
      </c>
      <c r="M65" s="1">
        <v>102000000</v>
      </c>
      <c r="N65" s="1">
        <v>719000000</v>
      </c>
    </row>
    <row r="66" spans="1:14" x14ac:dyDescent="0.2">
      <c r="A66" t="s">
        <v>284</v>
      </c>
      <c r="B66" s="1">
        <v>348000000</v>
      </c>
      <c r="C66" s="1">
        <v>56000000</v>
      </c>
      <c r="D66" s="1">
        <v>0</v>
      </c>
      <c r="E66" s="1">
        <v>5680000</v>
      </c>
      <c r="F66" s="1">
        <v>860000000</v>
      </c>
      <c r="G66" s="1">
        <v>3140000</v>
      </c>
      <c r="H66" s="1">
        <v>35000</v>
      </c>
      <c r="I66" s="1">
        <v>8980000</v>
      </c>
      <c r="J66" s="1">
        <v>38800000</v>
      </c>
      <c r="K66" s="1">
        <v>122000000</v>
      </c>
      <c r="L66" s="1">
        <v>0</v>
      </c>
      <c r="M66" s="1">
        <v>175000000</v>
      </c>
      <c r="N66" s="1">
        <v>1620000000</v>
      </c>
    </row>
    <row r="67" spans="1:14" x14ac:dyDescent="0.2">
      <c r="A67" t="s">
        <v>285</v>
      </c>
      <c r="B67" s="1">
        <v>473000000</v>
      </c>
      <c r="C67" s="1">
        <v>41300000</v>
      </c>
      <c r="D67" s="1">
        <v>0</v>
      </c>
      <c r="E67" s="1">
        <v>341000</v>
      </c>
      <c r="F67" s="1">
        <v>1590000000</v>
      </c>
      <c r="G67" s="1">
        <v>39800000</v>
      </c>
      <c r="H67" s="1">
        <v>158000</v>
      </c>
      <c r="I67" s="1">
        <v>84900000</v>
      </c>
      <c r="J67" s="1">
        <v>77100000</v>
      </c>
      <c r="K67" s="1">
        <v>297000000</v>
      </c>
      <c r="L67" s="1">
        <v>0</v>
      </c>
      <c r="M67" s="1">
        <v>908000000</v>
      </c>
      <c r="N67" s="1">
        <v>3510000000</v>
      </c>
    </row>
    <row r="68" spans="1:14" x14ac:dyDescent="0.2">
      <c r="A68" t="s">
        <v>286</v>
      </c>
      <c r="B68" s="1">
        <v>131000000</v>
      </c>
      <c r="C68" s="1">
        <v>10500000</v>
      </c>
      <c r="D68" s="1">
        <v>0</v>
      </c>
      <c r="E68" s="1">
        <v>19800</v>
      </c>
      <c r="F68" s="1">
        <v>391000000</v>
      </c>
      <c r="G68" s="1">
        <v>4050000</v>
      </c>
      <c r="H68" s="1">
        <v>22400</v>
      </c>
      <c r="I68" s="1">
        <v>13600000</v>
      </c>
      <c r="J68" s="1">
        <v>15800000</v>
      </c>
      <c r="K68" s="1">
        <v>48400000</v>
      </c>
      <c r="L68" s="1">
        <v>0</v>
      </c>
      <c r="M68" s="1">
        <v>206000000</v>
      </c>
      <c r="N68" s="1">
        <v>821000000</v>
      </c>
    </row>
    <row r="69" spans="1:14" x14ac:dyDescent="0.2">
      <c r="A69" t="s">
        <v>287</v>
      </c>
      <c r="B69" s="1">
        <v>44700000</v>
      </c>
      <c r="C69" s="1">
        <v>63000000</v>
      </c>
      <c r="D69" s="1">
        <v>0</v>
      </c>
      <c r="E69" s="1">
        <v>10700</v>
      </c>
      <c r="F69" s="1">
        <v>35800000</v>
      </c>
      <c r="G69" s="1">
        <v>1270000</v>
      </c>
      <c r="H69" s="1">
        <v>8710</v>
      </c>
      <c r="I69" s="1">
        <v>330000</v>
      </c>
      <c r="J69" s="1">
        <v>4920000</v>
      </c>
      <c r="K69" s="1">
        <v>16800000</v>
      </c>
      <c r="L69" s="1">
        <v>0</v>
      </c>
      <c r="M69" s="1">
        <v>62700000</v>
      </c>
      <c r="N69" s="1">
        <v>230000000</v>
      </c>
    </row>
    <row r="70" spans="1:14" x14ac:dyDescent="0.2">
      <c r="A70" t="s">
        <v>288</v>
      </c>
      <c r="B70" s="1">
        <v>548000000</v>
      </c>
      <c r="C70" s="1">
        <v>117000000</v>
      </c>
      <c r="D70" s="1">
        <v>0</v>
      </c>
      <c r="E70" s="1">
        <v>4280000</v>
      </c>
      <c r="F70" s="1">
        <v>2100000000</v>
      </c>
      <c r="G70" s="1">
        <v>12200000</v>
      </c>
      <c r="H70" s="1">
        <v>80700</v>
      </c>
      <c r="I70" s="1">
        <v>20300000</v>
      </c>
      <c r="J70" s="1">
        <v>135000000</v>
      </c>
      <c r="K70" s="1">
        <v>231000000</v>
      </c>
      <c r="L70" s="1">
        <v>0</v>
      </c>
      <c r="M70" s="1">
        <v>616000000</v>
      </c>
      <c r="N70" s="1">
        <v>3780000000</v>
      </c>
    </row>
    <row r="71" spans="1:14" x14ac:dyDescent="0.2">
      <c r="A71" t="s">
        <v>289</v>
      </c>
      <c r="B71" s="1">
        <v>593000000</v>
      </c>
      <c r="C71" s="1">
        <v>196000000</v>
      </c>
      <c r="D71" s="1">
        <v>0</v>
      </c>
      <c r="E71" s="1">
        <v>5280000</v>
      </c>
      <c r="F71" s="1">
        <v>2960000000</v>
      </c>
      <c r="G71" s="1">
        <v>18800000</v>
      </c>
      <c r="H71" s="1">
        <v>155000</v>
      </c>
      <c r="I71" s="1">
        <v>109000000</v>
      </c>
      <c r="J71" s="1">
        <v>180000000</v>
      </c>
      <c r="K71" s="1">
        <v>370000000</v>
      </c>
      <c r="L71" s="1">
        <v>0</v>
      </c>
      <c r="M71" s="1">
        <v>638000000</v>
      </c>
      <c r="N71" s="1">
        <v>5060000000</v>
      </c>
    </row>
    <row r="72" spans="1:14" x14ac:dyDescent="0.2">
      <c r="A72" t="s">
        <v>290</v>
      </c>
      <c r="B72" s="1">
        <v>613000000</v>
      </c>
      <c r="C72" s="1">
        <v>153000000</v>
      </c>
      <c r="D72" s="1">
        <v>0</v>
      </c>
      <c r="E72" s="1">
        <v>8130000</v>
      </c>
      <c r="F72" s="1">
        <v>2360000000</v>
      </c>
      <c r="G72" s="1">
        <v>10600000</v>
      </c>
      <c r="H72" s="1">
        <v>81000</v>
      </c>
      <c r="I72" s="1">
        <v>20800000</v>
      </c>
      <c r="J72" s="1">
        <v>140000000</v>
      </c>
      <c r="K72" s="1">
        <v>269000000</v>
      </c>
      <c r="L72" s="1">
        <v>0</v>
      </c>
      <c r="M72" s="1">
        <v>628000000</v>
      </c>
      <c r="N72" s="1">
        <v>4200000000</v>
      </c>
    </row>
    <row r="73" spans="1:14" x14ac:dyDescent="0.2">
      <c r="A73" t="s">
        <v>291</v>
      </c>
      <c r="B73" s="1">
        <v>73300000</v>
      </c>
      <c r="C73" s="1">
        <v>36700000</v>
      </c>
      <c r="D73" s="1">
        <v>0</v>
      </c>
      <c r="E73" s="1">
        <v>0</v>
      </c>
      <c r="F73" s="1">
        <v>2100000000</v>
      </c>
      <c r="G73" s="1">
        <v>58400000</v>
      </c>
      <c r="H73" s="1">
        <v>20800000</v>
      </c>
      <c r="I73" s="1">
        <v>115000000</v>
      </c>
      <c r="J73" s="1">
        <v>43500000</v>
      </c>
      <c r="K73" s="1">
        <v>4070000000</v>
      </c>
      <c r="L73" s="1">
        <v>0</v>
      </c>
      <c r="M73" s="1">
        <v>312000000</v>
      </c>
      <c r="N73" s="1">
        <v>6820000000</v>
      </c>
    </row>
    <row r="74" spans="1:14" x14ac:dyDescent="0.2">
      <c r="A74" t="s">
        <v>292</v>
      </c>
      <c r="B74" s="1">
        <v>103000000</v>
      </c>
      <c r="C74" s="1">
        <v>59000000</v>
      </c>
      <c r="D74" s="1">
        <v>0</v>
      </c>
      <c r="E74" s="1">
        <v>0</v>
      </c>
      <c r="F74" s="1">
        <v>2890000000</v>
      </c>
      <c r="G74" s="1">
        <v>75400000</v>
      </c>
      <c r="H74" s="1">
        <v>28600000</v>
      </c>
      <c r="I74" s="1">
        <v>148000000</v>
      </c>
      <c r="J74" s="1">
        <v>50500000</v>
      </c>
      <c r="K74" s="1">
        <v>5370000000</v>
      </c>
      <c r="L74" s="1">
        <v>0</v>
      </c>
      <c r="M74" s="1">
        <v>410000000</v>
      </c>
      <c r="N74" s="1">
        <v>9130000000</v>
      </c>
    </row>
    <row r="75" spans="1:14" x14ac:dyDescent="0.2">
      <c r="A75" t="s">
        <v>293</v>
      </c>
      <c r="B75" s="1">
        <v>216000000</v>
      </c>
      <c r="C75" s="1">
        <v>80000000</v>
      </c>
      <c r="D75" s="1">
        <v>0</v>
      </c>
      <c r="E75" s="1">
        <v>0</v>
      </c>
      <c r="F75" s="1">
        <v>2190000000</v>
      </c>
      <c r="G75" s="1">
        <v>41600000</v>
      </c>
      <c r="H75" s="1">
        <v>33700000</v>
      </c>
      <c r="I75" s="1">
        <v>118000000</v>
      </c>
      <c r="J75" s="1">
        <v>78500000</v>
      </c>
      <c r="K75" s="1">
        <v>3570000000</v>
      </c>
      <c r="L75" s="1">
        <v>0</v>
      </c>
      <c r="M75" s="1">
        <v>616000000</v>
      </c>
      <c r="N75" s="1">
        <v>6940000000</v>
      </c>
    </row>
    <row r="76" spans="1:14" x14ac:dyDescent="0.2">
      <c r="A76" t="s">
        <v>294</v>
      </c>
      <c r="B76" s="1">
        <v>57100000</v>
      </c>
      <c r="C76" s="1">
        <v>73300000</v>
      </c>
      <c r="D76" s="1">
        <v>0</v>
      </c>
      <c r="E76" s="1">
        <v>0</v>
      </c>
      <c r="F76" s="1">
        <v>5190000000</v>
      </c>
      <c r="G76" s="1">
        <v>118000000</v>
      </c>
      <c r="H76" s="1">
        <v>13000000</v>
      </c>
      <c r="I76" s="1">
        <v>170000000</v>
      </c>
      <c r="J76" s="1">
        <v>8130000</v>
      </c>
      <c r="K76" s="1">
        <v>4090000000</v>
      </c>
      <c r="L76" s="1">
        <v>0</v>
      </c>
      <c r="M76" s="1">
        <v>296000000</v>
      </c>
      <c r="N76" s="1">
        <v>10000000000</v>
      </c>
    </row>
    <row r="77" spans="1:14" x14ac:dyDescent="0.2">
      <c r="A77" t="s">
        <v>295</v>
      </c>
      <c r="B77" s="1">
        <v>96800000</v>
      </c>
      <c r="C77" s="1">
        <v>86700000</v>
      </c>
      <c r="D77" s="1">
        <v>0</v>
      </c>
      <c r="E77" s="1">
        <v>0</v>
      </c>
      <c r="F77" s="1">
        <v>5630000000</v>
      </c>
      <c r="G77" s="1">
        <v>153000000</v>
      </c>
      <c r="H77" s="1">
        <v>18500000</v>
      </c>
      <c r="I77" s="1">
        <v>202000000</v>
      </c>
      <c r="J77" s="1">
        <v>33600000</v>
      </c>
      <c r="K77" s="1">
        <v>6340000000</v>
      </c>
      <c r="L77" s="1">
        <v>0</v>
      </c>
      <c r="M77" s="1">
        <v>315000000</v>
      </c>
      <c r="N77" s="1">
        <v>12900000000</v>
      </c>
    </row>
    <row r="78" spans="1:14" x14ac:dyDescent="0.2">
      <c r="A78" t="s">
        <v>296</v>
      </c>
      <c r="B78" s="1">
        <v>159000000</v>
      </c>
      <c r="C78" s="1">
        <v>797000</v>
      </c>
      <c r="D78" s="1">
        <v>0</v>
      </c>
      <c r="E78" s="1">
        <v>0</v>
      </c>
      <c r="F78" s="1">
        <v>6120000000</v>
      </c>
      <c r="G78" s="1">
        <v>152000000</v>
      </c>
      <c r="H78" s="1">
        <v>8740000</v>
      </c>
      <c r="I78" s="1">
        <v>163000000</v>
      </c>
      <c r="J78" s="1">
        <v>22800000</v>
      </c>
      <c r="K78" s="1">
        <v>5470000000</v>
      </c>
      <c r="L78" s="1">
        <v>0</v>
      </c>
      <c r="M78" s="1">
        <v>400000000</v>
      </c>
      <c r="N78" s="1">
        <v>12500000000</v>
      </c>
    </row>
    <row r="79" spans="1:14" x14ac:dyDescent="0.2">
      <c r="A79" t="s">
        <v>297</v>
      </c>
      <c r="B79" s="1">
        <v>35800000</v>
      </c>
      <c r="C79" s="1">
        <v>28800000</v>
      </c>
      <c r="D79" s="1">
        <v>0</v>
      </c>
      <c r="E79" s="1">
        <v>0</v>
      </c>
      <c r="F79" s="1">
        <v>6500000000</v>
      </c>
      <c r="G79" s="1">
        <v>102000000</v>
      </c>
      <c r="H79" s="1">
        <v>25600000</v>
      </c>
      <c r="I79" s="1">
        <v>164000000</v>
      </c>
      <c r="J79" s="1">
        <v>20200000</v>
      </c>
      <c r="K79" s="1">
        <v>4170000000</v>
      </c>
      <c r="L79" s="1">
        <v>0</v>
      </c>
      <c r="M79" s="1">
        <v>129000000</v>
      </c>
      <c r="N79" s="1">
        <v>11200000000</v>
      </c>
    </row>
    <row r="80" spans="1:14" x14ac:dyDescent="0.2">
      <c r="A80" t="s">
        <v>298</v>
      </c>
      <c r="B80" s="1">
        <v>59800000</v>
      </c>
      <c r="C80" s="1">
        <v>49000000</v>
      </c>
      <c r="D80" s="1">
        <v>0</v>
      </c>
      <c r="E80" s="1">
        <v>0</v>
      </c>
      <c r="F80" s="1">
        <v>8600000000</v>
      </c>
      <c r="G80" s="1">
        <v>125000000</v>
      </c>
      <c r="H80" s="1">
        <v>30000000</v>
      </c>
      <c r="I80" s="1">
        <v>200000000</v>
      </c>
      <c r="J80" s="1">
        <v>35500000</v>
      </c>
      <c r="K80" s="1">
        <v>4430000000</v>
      </c>
      <c r="L80" s="1">
        <v>0</v>
      </c>
      <c r="M80" s="1">
        <v>197000000</v>
      </c>
      <c r="N80" s="1">
        <v>13700000000</v>
      </c>
    </row>
    <row r="81" spans="1:14" x14ac:dyDescent="0.2">
      <c r="A81" t="s">
        <v>299</v>
      </c>
      <c r="B81" s="1">
        <v>41300000</v>
      </c>
      <c r="C81" s="1">
        <v>32500000</v>
      </c>
      <c r="D81" s="1">
        <v>0</v>
      </c>
      <c r="E81" s="1">
        <v>0</v>
      </c>
      <c r="F81" s="1">
        <v>6750000000</v>
      </c>
      <c r="G81" s="1">
        <v>76000000</v>
      </c>
      <c r="H81" s="1">
        <v>35700000</v>
      </c>
      <c r="I81" s="1">
        <v>146000000</v>
      </c>
      <c r="J81" s="1">
        <v>35000000</v>
      </c>
      <c r="K81" s="1">
        <v>3500000000</v>
      </c>
      <c r="L81" s="1">
        <v>0</v>
      </c>
      <c r="M81" s="1">
        <v>228000000</v>
      </c>
      <c r="N81" s="1">
        <v>10800000000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1"/>
  <sheetViews>
    <sheetView workbookViewId="0">
      <selection activeCell="F17" sqref="F17"/>
    </sheetView>
  </sheetViews>
  <sheetFormatPr baseColWidth="10" defaultRowHeight="15" x14ac:dyDescent="0.2"/>
  <cols>
    <col min="1" max="1" width="27.5" customWidth="1"/>
  </cols>
  <sheetData>
    <row r="1" spans="1:14" x14ac:dyDescent="0.2">
      <c r="A1" t="s">
        <v>236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255</v>
      </c>
      <c r="B2" s="1">
        <v>0</v>
      </c>
      <c r="C2" s="1">
        <v>38300000</v>
      </c>
      <c r="D2" s="1">
        <v>0</v>
      </c>
      <c r="E2" s="1">
        <v>115000000</v>
      </c>
      <c r="F2" s="1">
        <v>2470000000</v>
      </c>
      <c r="G2" s="1">
        <v>53600000</v>
      </c>
      <c r="H2" s="1">
        <v>12100000</v>
      </c>
      <c r="I2" s="1">
        <v>267000000</v>
      </c>
      <c r="J2" s="1">
        <v>318000000</v>
      </c>
      <c r="K2" s="1">
        <v>9720000000</v>
      </c>
      <c r="L2" s="1">
        <v>145000000</v>
      </c>
      <c r="M2" s="1">
        <v>584000000</v>
      </c>
      <c r="N2" s="1">
        <v>13700000000</v>
      </c>
    </row>
    <row r="3" spans="1:14" x14ac:dyDescent="0.2">
      <c r="A3" t="s">
        <v>256</v>
      </c>
      <c r="B3" s="1">
        <v>0</v>
      </c>
      <c r="C3" s="1">
        <v>22000000</v>
      </c>
      <c r="D3" s="1">
        <v>0</v>
      </c>
      <c r="E3" s="1">
        <v>140000000</v>
      </c>
      <c r="F3" s="1">
        <v>2860000000</v>
      </c>
      <c r="G3" s="1">
        <v>60100000</v>
      </c>
      <c r="H3" s="1">
        <v>14700000</v>
      </c>
      <c r="I3" s="1">
        <v>343000000</v>
      </c>
      <c r="J3" s="1">
        <v>295000000</v>
      </c>
      <c r="K3" s="1">
        <v>11900000000</v>
      </c>
      <c r="L3" s="1">
        <v>108000000</v>
      </c>
      <c r="M3" s="1">
        <v>566000000</v>
      </c>
      <c r="N3" s="1">
        <v>16300000000</v>
      </c>
    </row>
    <row r="4" spans="1:14" x14ac:dyDescent="0.2">
      <c r="A4" t="s">
        <v>257</v>
      </c>
      <c r="B4" s="1">
        <v>0</v>
      </c>
      <c r="C4" s="1">
        <v>126000000</v>
      </c>
      <c r="D4" s="1">
        <v>0</v>
      </c>
      <c r="E4" s="1">
        <v>99500000</v>
      </c>
      <c r="F4" s="1">
        <v>2230000000</v>
      </c>
      <c r="G4" s="1">
        <v>46400000</v>
      </c>
      <c r="H4" s="1">
        <v>11800000</v>
      </c>
      <c r="I4" s="1">
        <v>279000000</v>
      </c>
      <c r="J4" s="1">
        <v>245000000</v>
      </c>
      <c r="K4" s="1">
        <v>9440000000</v>
      </c>
      <c r="L4" s="1">
        <v>84000000</v>
      </c>
      <c r="M4" s="1">
        <v>398000000</v>
      </c>
      <c r="N4" s="1">
        <v>13000000000</v>
      </c>
    </row>
    <row r="5" spans="1:14" x14ac:dyDescent="0.2">
      <c r="A5" t="s">
        <v>300</v>
      </c>
      <c r="B5" s="1">
        <v>0</v>
      </c>
      <c r="C5" s="1">
        <v>0</v>
      </c>
      <c r="D5" s="1">
        <v>0</v>
      </c>
      <c r="E5" s="1">
        <v>7680</v>
      </c>
      <c r="F5" s="1">
        <v>118000000</v>
      </c>
      <c r="G5" s="1">
        <v>20200000</v>
      </c>
      <c r="H5" s="1">
        <v>0</v>
      </c>
      <c r="I5" s="1">
        <v>0</v>
      </c>
      <c r="J5" s="1">
        <v>0</v>
      </c>
      <c r="K5" s="1">
        <v>990000000</v>
      </c>
      <c r="L5" s="1">
        <v>0</v>
      </c>
      <c r="M5" s="1">
        <v>21600</v>
      </c>
      <c r="N5" s="1">
        <v>1130000000</v>
      </c>
    </row>
    <row r="6" spans="1:14" x14ac:dyDescent="0.2">
      <c r="A6" t="s">
        <v>301</v>
      </c>
      <c r="B6" s="1">
        <v>0</v>
      </c>
      <c r="C6" s="1">
        <v>0</v>
      </c>
      <c r="D6" s="1">
        <v>0</v>
      </c>
      <c r="E6" s="1">
        <v>14100</v>
      </c>
      <c r="F6" s="1">
        <v>417000000</v>
      </c>
      <c r="G6" s="1">
        <v>68900000</v>
      </c>
      <c r="H6" s="1">
        <v>0</v>
      </c>
      <c r="I6" s="1">
        <v>10100000</v>
      </c>
      <c r="J6" s="1">
        <v>0</v>
      </c>
      <c r="K6" s="1">
        <v>3720000000</v>
      </c>
      <c r="L6" s="1">
        <v>0</v>
      </c>
      <c r="M6" s="1">
        <v>49700</v>
      </c>
      <c r="N6" s="1">
        <v>4210000000</v>
      </c>
    </row>
    <row r="7" spans="1:14" x14ac:dyDescent="0.2">
      <c r="A7" t="s">
        <v>302</v>
      </c>
      <c r="B7" s="1">
        <v>0</v>
      </c>
      <c r="C7" s="1">
        <v>0</v>
      </c>
      <c r="D7" s="1">
        <v>0</v>
      </c>
      <c r="E7" s="1">
        <v>19800</v>
      </c>
      <c r="F7" s="1">
        <v>516000000</v>
      </c>
      <c r="G7" s="1">
        <v>76700000</v>
      </c>
      <c r="H7" s="1">
        <v>0</v>
      </c>
      <c r="I7" s="1">
        <v>0</v>
      </c>
      <c r="J7" s="1">
        <v>0</v>
      </c>
      <c r="K7" s="1">
        <v>4470000000</v>
      </c>
      <c r="L7" s="1">
        <v>0</v>
      </c>
      <c r="M7" s="1">
        <v>0</v>
      </c>
      <c r="N7" s="1">
        <v>5060000000</v>
      </c>
    </row>
    <row r="8" spans="1:14" x14ac:dyDescent="0.2">
      <c r="A8" t="s">
        <v>303</v>
      </c>
      <c r="B8" s="1">
        <v>0</v>
      </c>
      <c r="C8" s="1">
        <v>103000000</v>
      </c>
      <c r="D8" s="1">
        <v>0</v>
      </c>
      <c r="E8" s="1">
        <v>4210000</v>
      </c>
      <c r="F8" s="1">
        <v>69900000</v>
      </c>
      <c r="G8" s="1">
        <v>8240000</v>
      </c>
      <c r="H8" s="1">
        <v>0</v>
      </c>
      <c r="I8" s="1">
        <v>0</v>
      </c>
      <c r="J8" s="1">
        <v>3220000000</v>
      </c>
      <c r="K8" s="1">
        <v>288000000</v>
      </c>
      <c r="L8" s="1">
        <v>0</v>
      </c>
      <c r="M8" s="1">
        <v>478000000</v>
      </c>
      <c r="N8" s="1">
        <v>4170000000</v>
      </c>
    </row>
    <row r="9" spans="1:14" x14ac:dyDescent="0.2">
      <c r="A9" t="s">
        <v>304</v>
      </c>
      <c r="B9" s="1">
        <v>0</v>
      </c>
      <c r="C9" s="1">
        <v>26400000</v>
      </c>
      <c r="D9" s="1">
        <v>0</v>
      </c>
      <c r="E9" s="1">
        <v>3000000</v>
      </c>
      <c r="F9" s="1">
        <v>35200000</v>
      </c>
      <c r="G9" s="1">
        <v>5450000</v>
      </c>
      <c r="H9" s="1">
        <v>34700</v>
      </c>
      <c r="I9" s="1">
        <v>0</v>
      </c>
      <c r="J9" s="1">
        <v>1420000000</v>
      </c>
      <c r="K9" s="1">
        <v>142000000</v>
      </c>
      <c r="L9" s="1">
        <v>0</v>
      </c>
      <c r="M9" s="1">
        <v>138000000</v>
      </c>
      <c r="N9" s="1">
        <v>1770000000</v>
      </c>
    </row>
    <row r="10" spans="1:14" x14ac:dyDescent="0.2">
      <c r="A10" t="s">
        <v>305</v>
      </c>
      <c r="B10" s="1">
        <v>0</v>
      </c>
      <c r="C10" s="1">
        <v>53900000</v>
      </c>
      <c r="D10" s="1">
        <v>0</v>
      </c>
      <c r="E10" s="1">
        <v>4250000</v>
      </c>
      <c r="F10" s="1">
        <v>43600000</v>
      </c>
      <c r="G10" s="1">
        <v>7750000</v>
      </c>
      <c r="H10" s="1">
        <v>503000</v>
      </c>
      <c r="I10" s="1">
        <v>0</v>
      </c>
      <c r="J10" s="1">
        <v>2570000000</v>
      </c>
      <c r="K10" s="1">
        <v>277000000</v>
      </c>
      <c r="L10" s="1">
        <v>0</v>
      </c>
      <c r="M10" s="1">
        <v>236000000</v>
      </c>
      <c r="N10" s="1">
        <v>3190000000</v>
      </c>
    </row>
    <row r="11" spans="1:14" x14ac:dyDescent="0.2">
      <c r="A11" t="s">
        <v>306</v>
      </c>
      <c r="B11" s="1">
        <v>232000000</v>
      </c>
      <c r="C11" s="1">
        <v>14100000</v>
      </c>
      <c r="D11" s="1">
        <v>0</v>
      </c>
      <c r="E11" s="1">
        <v>1260000000</v>
      </c>
      <c r="F11" s="1">
        <v>689000000</v>
      </c>
      <c r="G11" s="1">
        <v>44300000</v>
      </c>
      <c r="H11" s="1">
        <v>24700000</v>
      </c>
      <c r="I11" s="1">
        <v>247000000</v>
      </c>
      <c r="J11" s="1">
        <v>51800000</v>
      </c>
      <c r="K11" s="1">
        <v>0</v>
      </c>
      <c r="L11" s="1">
        <v>0</v>
      </c>
      <c r="M11" s="1">
        <v>397000000</v>
      </c>
      <c r="N11" s="1">
        <v>2970000000</v>
      </c>
    </row>
    <row r="12" spans="1:14" x14ac:dyDescent="0.2">
      <c r="A12" t="s">
        <v>307</v>
      </c>
      <c r="B12" s="1">
        <v>299000000</v>
      </c>
      <c r="C12" s="1">
        <v>17100000</v>
      </c>
      <c r="D12" s="1">
        <v>541000</v>
      </c>
      <c r="E12" s="1">
        <v>1260000000</v>
      </c>
      <c r="F12" s="1">
        <v>546000000</v>
      </c>
      <c r="G12" s="1">
        <v>39000000</v>
      </c>
      <c r="H12" s="1">
        <v>24600000</v>
      </c>
      <c r="I12" s="1">
        <v>247000000</v>
      </c>
      <c r="J12" s="1">
        <v>48900000</v>
      </c>
      <c r="K12" s="1">
        <v>0</v>
      </c>
      <c r="L12" s="1">
        <v>0</v>
      </c>
      <c r="M12" s="1">
        <v>369000000</v>
      </c>
      <c r="N12" s="1">
        <v>2850000000</v>
      </c>
    </row>
    <row r="13" spans="1:14" x14ac:dyDescent="0.2">
      <c r="A13" t="s">
        <v>308</v>
      </c>
      <c r="B13" s="1">
        <v>282000000</v>
      </c>
      <c r="C13" s="1">
        <v>0</v>
      </c>
      <c r="D13" s="1">
        <v>0</v>
      </c>
      <c r="E13" s="1">
        <v>1380000000</v>
      </c>
      <c r="F13" s="1">
        <v>711000000</v>
      </c>
      <c r="G13" s="1">
        <v>45100000</v>
      </c>
      <c r="H13" s="1">
        <v>27800000</v>
      </c>
      <c r="I13" s="1">
        <v>286000000</v>
      </c>
      <c r="J13" s="1">
        <v>52000000</v>
      </c>
      <c r="K13" s="1">
        <v>0</v>
      </c>
      <c r="L13" s="1">
        <v>0</v>
      </c>
      <c r="M13" s="1">
        <v>458000000</v>
      </c>
      <c r="N13" s="1">
        <v>3240000000</v>
      </c>
    </row>
    <row r="14" spans="1:14" x14ac:dyDescent="0.2">
      <c r="A14" t="s">
        <v>309</v>
      </c>
      <c r="B14" s="1">
        <v>854000000</v>
      </c>
      <c r="C14" s="1">
        <v>0</v>
      </c>
      <c r="D14" s="1">
        <v>0</v>
      </c>
      <c r="E14" s="1">
        <v>12300</v>
      </c>
      <c r="F14" s="1">
        <v>6810000</v>
      </c>
      <c r="G14" s="1">
        <v>29500000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891000000</v>
      </c>
    </row>
    <row r="15" spans="1:14" x14ac:dyDescent="0.2">
      <c r="A15" t="s">
        <v>310</v>
      </c>
      <c r="B15" s="1">
        <v>750000000</v>
      </c>
      <c r="C15" s="1">
        <v>0</v>
      </c>
      <c r="D15" s="1">
        <v>0</v>
      </c>
      <c r="E15" s="1">
        <v>0</v>
      </c>
      <c r="F15" s="1">
        <v>1220000</v>
      </c>
      <c r="G15" s="1">
        <v>23500000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775000000</v>
      </c>
    </row>
    <row r="16" spans="1:14" x14ac:dyDescent="0.2">
      <c r="A16" t="s">
        <v>311</v>
      </c>
      <c r="B16" s="1">
        <v>247000000</v>
      </c>
      <c r="C16" s="1">
        <v>0</v>
      </c>
      <c r="D16" s="1">
        <v>0</v>
      </c>
      <c r="E16" s="1">
        <v>339000000</v>
      </c>
      <c r="F16" s="1">
        <v>43000000</v>
      </c>
      <c r="G16" s="1">
        <v>30300000</v>
      </c>
      <c r="H16" s="1">
        <v>0</v>
      </c>
      <c r="I16" s="1">
        <v>4970000</v>
      </c>
      <c r="J16" s="1">
        <v>25600000</v>
      </c>
      <c r="K16" s="1">
        <v>0</v>
      </c>
      <c r="L16" s="1">
        <v>0</v>
      </c>
      <c r="M16" s="1">
        <v>2940000000</v>
      </c>
      <c r="N16" s="1">
        <v>3630000000</v>
      </c>
    </row>
    <row r="17" spans="1:14" x14ac:dyDescent="0.2">
      <c r="A17" t="s">
        <v>312</v>
      </c>
      <c r="B17" s="1">
        <v>213000000</v>
      </c>
      <c r="C17" s="1">
        <v>0</v>
      </c>
      <c r="D17" s="1">
        <v>0</v>
      </c>
      <c r="E17" s="1">
        <v>361000000</v>
      </c>
      <c r="F17" s="1">
        <v>104000000</v>
      </c>
      <c r="G17" s="1">
        <v>26600000</v>
      </c>
      <c r="H17" s="1">
        <v>0</v>
      </c>
      <c r="I17" s="1">
        <v>5720000</v>
      </c>
      <c r="J17" s="1">
        <v>47900000</v>
      </c>
      <c r="K17" s="1">
        <v>0</v>
      </c>
      <c r="L17" s="1">
        <v>0</v>
      </c>
      <c r="M17" s="1">
        <v>2870000000</v>
      </c>
      <c r="N17" s="1">
        <v>3630000000</v>
      </c>
    </row>
    <row r="18" spans="1:14" x14ac:dyDescent="0.2">
      <c r="A18" t="s">
        <v>313</v>
      </c>
      <c r="B18" s="1">
        <v>114000000</v>
      </c>
      <c r="C18" s="1">
        <v>4810000</v>
      </c>
      <c r="D18" s="1">
        <v>0</v>
      </c>
      <c r="E18" s="1">
        <v>186000000</v>
      </c>
      <c r="F18" s="1">
        <v>277000</v>
      </c>
      <c r="G18" s="1">
        <v>34300000</v>
      </c>
      <c r="H18" s="1">
        <v>9870000</v>
      </c>
      <c r="I18" s="1">
        <v>287000000</v>
      </c>
      <c r="J18" s="1">
        <v>15500000</v>
      </c>
      <c r="K18" s="1">
        <v>3790000000</v>
      </c>
      <c r="L18" s="1">
        <v>0</v>
      </c>
      <c r="M18" s="1">
        <v>0</v>
      </c>
      <c r="N18" s="1">
        <v>4440000000</v>
      </c>
    </row>
    <row r="19" spans="1:14" x14ac:dyDescent="0.2">
      <c r="A19" t="s">
        <v>314</v>
      </c>
      <c r="B19" s="1">
        <v>70000000</v>
      </c>
      <c r="C19" s="1">
        <v>4290000</v>
      </c>
      <c r="D19" s="1">
        <v>0</v>
      </c>
      <c r="E19" s="1">
        <v>153000000</v>
      </c>
      <c r="F19" s="1">
        <v>102000</v>
      </c>
      <c r="G19" s="1">
        <v>30000000</v>
      </c>
      <c r="H19" s="1">
        <v>8290000</v>
      </c>
      <c r="I19" s="1">
        <v>227000000</v>
      </c>
      <c r="J19" s="1">
        <v>7210000</v>
      </c>
      <c r="K19" s="1">
        <v>2950000000</v>
      </c>
      <c r="L19" s="1">
        <v>0</v>
      </c>
      <c r="M19" s="1">
        <v>0</v>
      </c>
      <c r="N19" s="1">
        <v>3450000000</v>
      </c>
    </row>
    <row r="20" spans="1:14" x14ac:dyDescent="0.2">
      <c r="A20" t="s">
        <v>315</v>
      </c>
      <c r="B20" s="1">
        <v>533000000</v>
      </c>
      <c r="C20" s="1">
        <v>0</v>
      </c>
      <c r="D20" s="1">
        <v>0</v>
      </c>
      <c r="E20" s="1">
        <v>41000</v>
      </c>
      <c r="F20" s="1">
        <v>0</v>
      </c>
      <c r="G20" s="1">
        <v>30000000</v>
      </c>
      <c r="H20" s="1">
        <v>0</v>
      </c>
      <c r="I20" s="1">
        <v>26200000</v>
      </c>
      <c r="J20" s="1">
        <v>0</v>
      </c>
      <c r="K20" s="1">
        <v>280000000</v>
      </c>
      <c r="L20" s="1">
        <v>0</v>
      </c>
      <c r="M20" s="1">
        <v>0</v>
      </c>
      <c r="N20" s="1">
        <v>869000000</v>
      </c>
    </row>
    <row r="21" spans="1:14" x14ac:dyDescent="0.2">
      <c r="A21" t="s">
        <v>316</v>
      </c>
      <c r="B21" s="1">
        <v>266000000</v>
      </c>
      <c r="C21" s="1">
        <v>0</v>
      </c>
      <c r="D21" s="1">
        <v>0</v>
      </c>
      <c r="E21" s="1">
        <v>15200</v>
      </c>
      <c r="F21" s="1">
        <v>146000</v>
      </c>
      <c r="G21" s="1">
        <v>13700000</v>
      </c>
      <c r="H21" s="1">
        <v>0</v>
      </c>
      <c r="I21" s="1">
        <v>0</v>
      </c>
      <c r="J21" s="1">
        <v>0</v>
      </c>
      <c r="K21" s="1">
        <v>220000000</v>
      </c>
      <c r="L21" s="1">
        <v>0</v>
      </c>
      <c r="M21" s="1">
        <v>0</v>
      </c>
      <c r="N21" s="1">
        <v>500000000</v>
      </c>
    </row>
    <row r="22" spans="1:14" x14ac:dyDescent="0.2">
      <c r="A22" t="s">
        <v>317</v>
      </c>
      <c r="B22" s="1">
        <v>616000000</v>
      </c>
      <c r="C22" s="1">
        <v>0</v>
      </c>
      <c r="D22" s="1">
        <v>0</v>
      </c>
      <c r="E22" s="1">
        <v>16400</v>
      </c>
      <c r="F22" s="1">
        <v>5840000</v>
      </c>
      <c r="G22" s="1">
        <v>17800000</v>
      </c>
      <c r="H22" s="1">
        <v>0</v>
      </c>
      <c r="I22" s="1">
        <v>0</v>
      </c>
      <c r="J22" s="1">
        <v>0</v>
      </c>
      <c r="K22" s="1">
        <v>287000000</v>
      </c>
      <c r="L22" s="1">
        <v>0</v>
      </c>
      <c r="M22" s="1">
        <v>0</v>
      </c>
      <c r="N22" s="1">
        <v>927000000</v>
      </c>
    </row>
    <row r="23" spans="1:14" x14ac:dyDescent="0.2">
      <c r="A23" t="s">
        <v>318</v>
      </c>
      <c r="B23" s="1">
        <v>137000000</v>
      </c>
      <c r="C23" s="1">
        <v>0</v>
      </c>
      <c r="D23" s="1">
        <v>0</v>
      </c>
      <c r="E23" s="1">
        <v>3350000</v>
      </c>
      <c r="F23" s="1">
        <v>13400000</v>
      </c>
      <c r="G23" s="1">
        <v>11300000</v>
      </c>
      <c r="H23" s="1">
        <v>0</v>
      </c>
      <c r="I23" s="1">
        <v>6780000</v>
      </c>
      <c r="J23" s="1">
        <v>0</v>
      </c>
      <c r="K23" s="1">
        <v>150000000</v>
      </c>
      <c r="L23" s="1">
        <v>0</v>
      </c>
      <c r="M23" s="1">
        <v>0</v>
      </c>
      <c r="N23" s="1">
        <v>322000000</v>
      </c>
    </row>
    <row r="24" spans="1:14" x14ac:dyDescent="0.2">
      <c r="A24" t="s">
        <v>319</v>
      </c>
      <c r="B24" s="1">
        <v>148000000</v>
      </c>
      <c r="C24" s="1">
        <v>0</v>
      </c>
      <c r="D24" s="1">
        <v>0</v>
      </c>
      <c r="E24" s="1">
        <v>2690000</v>
      </c>
      <c r="F24" s="1">
        <v>8220000</v>
      </c>
      <c r="G24" s="1">
        <v>13600000</v>
      </c>
      <c r="H24" s="1">
        <v>0</v>
      </c>
      <c r="I24" s="1">
        <v>6280000</v>
      </c>
      <c r="J24" s="1">
        <v>0</v>
      </c>
      <c r="K24" s="1">
        <v>191000000</v>
      </c>
      <c r="L24" s="1">
        <v>0</v>
      </c>
      <c r="M24" s="1">
        <v>0</v>
      </c>
      <c r="N24" s="1">
        <v>370000000</v>
      </c>
    </row>
    <row r="25" spans="1:14" x14ac:dyDescent="0.2">
      <c r="A25" t="s">
        <v>320</v>
      </c>
      <c r="B25" s="1">
        <v>66200000</v>
      </c>
      <c r="C25" s="1">
        <v>0</v>
      </c>
      <c r="D25" s="1">
        <v>0</v>
      </c>
      <c r="E25" s="1">
        <v>37700</v>
      </c>
      <c r="F25" s="1">
        <v>1080000</v>
      </c>
      <c r="G25" s="1">
        <v>10300000</v>
      </c>
      <c r="H25" s="1">
        <v>0</v>
      </c>
      <c r="I25" s="1">
        <v>1450000</v>
      </c>
      <c r="J25" s="1">
        <v>0</v>
      </c>
      <c r="K25" s="1">
        <v>182000000</v>
      </c>
      <c r="L25" s="1">
        <v>0</v>
      </c>
      <c r="M25" s="1">
        <v>0</v>
      </c>
      <c r="N25" s="1">
        <v>261000000</v>
      </c>
    </row>
    <row r="26" spans="1:14" x14ac:dyDescent="0.2">
      <c r="A26" t="s">
        <v>258</v>
      </c>
      <c r="B26" s="1">
        <v>87600000</v>
      </c>
      <c r="C26" s="1">
        <v>3080000</v>
      </c>
      <c r="D26" s="1">
        <v>0</v>
      </c>
      <c r="E26" s="1">
        <v>31200000</v>
      </c>
      <c r="F26" s="1">
        <v>1230000000</v>
      </c>
      <c r="G26" s="1">
        <v>19400000</v>
      </c>
      <c r="H26" s="1">
        <v>10700000</v>
      </c>
      <c r="I26" s="1">
        <v>218000000</v>
      </c>
      <c r="J26" s="1">
        <v>27600000</v>
      </c>
      <c r="K26" s="1">
        <v>3580000000</v>
      </c>
      <c r="L26" s="1">
        <v>0</v>
      </c>
      <c r="M26" s="1">
        <v>292000000</v>
      </c>
      <c r="N26" s="1">
        <v>5510000000</v>
      </c>
    </row>
    <row r="27" spans="1:14" x14ac:dyDescent="0.2">
      <c r="A27" t="s">
        <v>259</v>
      </c>
      <c r="B27" s="1">
        <v>111000000</v>
      </c>
      <c r="C27" s="1">
        <v>1720000</v>
      </c>
      <c r="D27" s="1">
        <v>354000</v>
      </c>
      <c r="E27" s="1">
        <v>28700000</v>
      </c>
      <c r="F27" s="1">
        <v>1020000000</v>
      </c>
      <c r="G27" s="1">
        <v>17200000</v>
      </c>
      <c r="H27" s="1">
        <v>9450000</v>
      </c>
      <c r="I27" s="1">
        <v>187000000</v>
      </c>
      <c r="J27" s="1">
        <v>19500000</v>
      </c>
      <c r="K27" s="1">
        <v>3380000000</v>
      </c>
      <c r="L27" s="1">
        <v>0</v>
      </c>
      <c r="M27" s="1">
        <v>279000000</v>
      </c>
      <c r="N27" s="1">
        <v>5050000000</v>
      </c>
    </row>
    <row r="28" spans="1:14" x14ac:dyDescent="0.2">
      <c r="A28" t="s">
        <v>260</v>
      </c>
      <c r="B28" s="1">
        <v>34700000</v>
      </c>
      <c r="C28" s="1">
        <v>1280000</v>
      </c>
      <c r="D28" s="1">
        <v>0</v>
      </c>
      <c r="E28" s="1">
        <v>26700000</v>
      </c>
      <c r="F28" s="1">
        <v>921000000</v>
      </c>
      <c r="G28" s="1">
        <v>16900000</v>
      </c>
      <c r="H28" s="1">
        <v>8020000</v>
      </c>
      <c r="I28" s="1">
        <v>159000000</v>
      </c>
      <c r="J28" s="1">
        <v>12300000</v>
      </c>
      <c r="K28" s="1">
        <v>2880000000</v>
      </c>
      <c r="L28" s="1">
        <v>0</v>
      </c>
      <c r="M28" s="1">
        <v>170000000</v>
      </c>
      <c r="N28" s="1">
        <v>4230000000</v>
      </c>
    </row>
    <row r="29" spans="1:14" x14ac:dyDescent="0.2">
      <c r="A29" t="s">
        <v>321</v>
      </c>
      <c r="B29" s="1">
        <v>395000000</v>
      </c>
      <c r="C29" s="1">
        <v>0</v>
      </c>
      <c r="D29" s="1">
        <v>0</v>
      </c>
      <c r="E29" s="1">
        <v>4170</v>
      </c>
      <c r="F29" s="1">
        <v>68900</v>
      </c>
      <c r="G29" s="1">
        <v>20700000</v>
      </c>
      <c r="H29" s="1">
        <v>0</v>
      </c>
      <c r="I29" s="1">
        <v>0</v>
      </c>
      <c r="J29" s="1">
        <v>0</v>
      </c>
      <c r="K29" s="1">
        <v>16800000</v>
      </c>
      <c r="L29" s="1">
        <v>0</v>
      </c>
      <c r="M29" s="1">
        <v>19100</v>
      </c>
      <c r="N29" s="1">
        <v>433000000</v>
      </c>
    </row>
    <row r="30" spans="1:14" x14ac:dyDescent="0.2">
      <c r="A30" t="s">
        <v>322</v>
      </c>
      <c r="B30" s="1">
        <v>297000000</v>
      </c>
      <c r="C30" s="1">
        <v>0</v>
      </c>
      <c r="D30" s="1">
        <v>0</v>
      </c>
      <c r="E30" s="1">
        <v>4910</v>
      </c>
      <c r="F30" s="1">
        <v>28600000</v>
      </c>
      <c r="G30" s="1">
        <v>28600000</v>
      </c>
      <c r="H30" s="1">
        <v>0</v>
      </c>
      <c r="I30" s="1">
        <v>0</v>
      </c>
      <c r="J30" s="1">
        <v>0</v>
      </c>
      <c r="K30" s="1">
        <v>1430000</v>
      </c>
      <c r="L30" s="1">
        <v>0</v>
      </c>
      <c r="M30" s="1">
        <v>30900</v>
      </c>
      <c r="N30" s="1">
        <v>356000000</v>
      </c>
    </row>
    <row r="31" spans="1:14" x14ac:dyDescent="0.2">
      <c r="A31" t="s">
        <v>323</v>
      </c>
      <c r="B31" s="1">
        <v>497000000</v>
      </c>
      <c r="C31" s="1">
        <v>0</v>
      </c>
      <c r="D31" s="1">
        <v>0</v>
      </c>
      <c r="E31" s="1">
        <v>6230</v>
      </c>
      <c r="F31" s="1">
        <v>71000000</v>
      </c>
      <c r="G31" s="1">
        <v>28700000</v>
      </c>
      <c r="H31" s="1">
        <v>0</v>
      </c>
      <c r="I31" s="1">
        <v>0</v>
      </c>
      <c r="J31" s="1">
        <v>0</v>
      </c>
      <c r="K31" s="1">
        <v>22300000</v>
      </c>
      <c r="L31" s="1">
        <v>0</v>
      </c>
      <c r="M31" s="1">
        <v>0</v>
      </c>
      <c r="N31" s="1">
        <v>619000000</v>
      </c>
    </row>
    <row r="32" spans="1:14" x14ac:dyDescent="0.2">
      <c r="A32" t="s">
        <v>324</v>
      </c>
      <c r="B32" s="1">
        <v>175000000</v>
      </c>
      <c r="C32" s="1">
        <v>0</v>
      </c>
      <c r="D32" s="1">
        <v>0</v>
      </c>
      <c r="E32" s="1">
        <v>166000000</v>
      </c>
      <c r="F32" s="1">
        <v>31500000</v>
      </c>
      <c r="G32" s="1">
        <v>29300000</v>
      </c>
      <c r="H32" s="1">
        <v>0</v>
      </c>
      <c r="I32" s="1">
        <v>14500000</v>
      </c>
      <c r="J32" s="1">
        <v>0</v>
      </c>
      <c r="K32" s="1">
        <v>445000000</v>
      </c>
      <c r="L32" s="1">
        <v>0</v>
      </c>
      <c r="M32" s="1">
        <v>535000000</v>
      </c>
      <c r="N32" s="1">
        <v>1400000000</v>
      </c>
    </row>
    <row r="33" spans="1:14" x14ac:dyDescent="0.2">
      <c r="A33" t="s">
        <v>325</v>
      </c>
      <c r="B33" s="1">
        <v>228000000</v>
      </c>
      <c r="C33" s="1">
        <v>0</v>
      </c>
      <c r="D33" s="1">
        <v>0</v>
      </c>
      <c r="E33" s="1">
        <v>130000</v>
      </c>
      <c r="F33" s="1">
        <v>465000</v>
      </c>
      <c r="G33" s="1">
        <v>38100000</v>
      </c>
      <c r="H33" s="1">
        <v>0</v>
      </c>
      <c r="I33" s="1">
        <v>7620000</v>
      </c>
      <c r="J33" s="1">
        <v>4310000</v>
      </c>
      <c r="K33" s="1">
        <v>434000000</v>
      </c>
      <c r="L33" s="1">
        <v>0</v>
      </c>
      <c r="M33" s="1">
        <v>1370000000</v>
      </c>
      <c r="N33" s="1">
        <v>2080000000</v>
      </c>
    </row>
    <row r="34" spans="1:14" x14ac:dyDescent="0.2">
      <c r="A34" t="s">
        <v>326</v>
      </c>
      <c r="B34" s="1">
        <v>255000000</v>
      </c>
      <c r="C34" s="1">
        <v>0</v>
      </c>
      <c r="D34" s="1">
        <v>0</v>
      </c>
      <c r="E34" s="1">
        <v>121000</v>
      </c>
      <c r="F34" s="1">
        <v>0</v>
      </c>
      <c r="G34" s="1">
        <v>39600000</v>
      </c>
      <c r="H34" s="1">
        <v>0</v>
      </c>
      <c r="I34" s="1">
        <v>432000</v>
      </c>
      <c r="J34" s="1">
        <v>0</v>
      </c>
      <c r="K34" s="1">
        <v>443000000</v>
      </c>
      <c r="L34" s="1">
        <v>0</v>
      </c>
      <c r="M34" s="1">
        <v>809000000</v>
      </c>
      <c r="N34" s="1">
        <v>1550000000</v>
      </c>
    </row>
    <row r="35" spans="1:14" x14ac:dyDescent="0.2">
      <c r="A35" t="s">
        <v>261</v>
      </c>
      <c r="B35" s="1">
        <v>367000000</v>
      </c>
      <c r="C35" s="1">
        <v>3600000</v>
      </c>
      <c r="D35" s="1">
        <v>0</v>
      </c>
      <c r="E35" s="1">
        <v>114000000</v>
      </c>
      <c r="F35" s="1">
        <v>28100000000</v>
      </c>
      <c r="G35" s="1">
        <v>519000</v>
      </c>
      <c r="H35" s="1">
        <v>11500000</v>
      </c>
      <c r="I35" s="1">
        <v>596000000</v>
      </c>
      <c r="J35" s="1">
        <v>29200000</v>
      </c>
      <c r="K35" s="1">
        <v>30700000000</v>
      </c>
      <c r="L35" s="1">
        <v>0</v>
      </c>
      <c r="M35" s="1">
        <v>796000000</v>
      </c>
      <c r="N35" s="1">
        <v>60700000000</v>
      </c>
    </row>
    <row r="36" spans="1:14" x14ac:dyDescent="0.2">
      <c r="A36" t="s">
        <v>262</v>
      </c>
      <c r="B36" s="1">
        <v>395000000</v>
      </c>
      <c r="C36" s="1">
        <v>2620000</v>
      </c>
      <c r="D36" s="1">
        <v>0</v>
      </c>
      <c r="E36" s="1">
        <v>78000000</v>
      </c>
      <c r="F36" s="1">
        <v>19000000000</v>
      </c>
      <c r="G36" s="1">
        <v>219000000</v>
      </c>
      <c r="H36" s="1">
        <v>7040000</v>
      </c>
      <c r="I36" s="1">
        <v>375000000</v>
      </c>
      <c r="J36" s="1">
        <v>29200000</v>
      </c>
      <c r="K36" s="1">
        <v>21200000000</v>
      </c>
      <c r="L36" s="1">
        <v>0</v>
      </c>
      <c r="M36" s="1">
        <v>779000000</v>
      </c>
      <c r="N36" s="1">
        <v>42100000000</v>
      </c>
    </row>
    <row r="37" spans="1:14" x14ac:dyDescent="0.2">
      <c r="A37" t="s">
        <v>263</v>
      </c>
      <c r="B37" s="1">
        <v>421000000</v>
      </c>
      <c r="C37" s="1">
        <v>2510000</v>
      </c>
      <c r="D37" s="1">
        <v>0</v>
      </c>
      <c r="E37" s="1">
        <v>99500000</v>
      </c>
      <c r="F37" s="1">
        <v>24900000000</v>
      </c>
      <c r="G37" s="1">
        <v>281000000</v>
      </c>
      <c r="H37" s="1">
        <v>8430000</v>
      </c>
      <c r="I37" s="1">
        <v>444000000</v>
      </c>
      <c r="J37" s="1">
        <v>34500000</v>
      </c>
      <c r="K37" s="1">
        <v>25400000000</v>
      </c>
      <c r="L37" s="1">
        <v>0</v>
      </c>
      <c r="M37" s="1">
        <v>731000000</v>
      </c>
      <c r="N37" s="1">
        <v>52300000000</v>
      </c>
    </row>
    <row r="38" spans="1:14" x14ac:dyDescent="0.2">
      <c r="A38" t="s">
        <v>327</v>
      </c>
      <c r="B38" s="1">
        <v>1300000000</v>
      </c>
      <c r="C38" s="1">
        <v>0</v>
      </c>
      <c r="D38" s="1">
        <v>0</v>
      </c>
      <c r="E38" s="1">
        <v>0</v>
      </c>
      <c r="F38" s="1">
        <v>6650000000</v>
      </c>
      <c r="G38" s="1">
        <v>167000000</v>
      </c>
      <c r="H38" s="1">
        <v>0</v>
      </c>
      <c r="I38" s="1">
        <v>0</v>
      </c>
      <c r="J38" s="1">
        <v>0</v>
      </c>
      <c r="K38" s="1">
        <v>127000000</v>
      </c>
      <c r="L38" s="1">
        <v>0</v>
      </c>
      <c r="M38" s="1">
        <v>0</v>
      </c>
      <c r="N38" s="1">
        <v>8250000000</v>
      </c>
    </row>
    <row r="39" spans="1:14" x14ac:dyDescent="0.2">
      <c r="A39" t="s">
        <v>328</v>
      </c>
      <c r="B39" s="1">
        <v>770000000</v>
      </c>
      <c r="C39" s="1">
        <v>0</v>
      </c>
      <c r="D39" s="1">
        <v>0</v>
      </c>
      <c r="E39" s="1">
        <v>0</v>
      </c>
      <c r="F39" s="1">
        <v>3780000000</v>
      </c>
      <c r="G39" s="1">
        <v>125000000</v>
      </c>
      <c r="H39" s="1">
        <v>0</v>
      </c>
      <c r="I39" s="1">
        <v>5520000</v>
      </c>
      <c r="J39" s="1">
        <v>0</v>
      </c>
      <c r="K39" s="1">
        <v>1250000</v>
      </c>
      <c r="L39" s="1">
        <v>0</v>
      </c>
      <c r="M39" s="1">
        <v>0</v>
      </c>
      <c r="N39" s="1">
        <v>4680000000</v>
      </c>
    </row>
    <row r="40" spans="1:14" x14ac:dyDescent="0.2">
      <c r="A40" t="s">
        <v>329</v>
      </c>
      <c r="B40" s="1">
        <v>926000000</v>
      </c>
      <c r="C40" s="1">
        <v>0</v>
      </c>
      <c r="D40" s="1">
        <v>0</v>
      </c>
      <c r="E40" s="1">
        <v>0</v>
      </c>
      <c r="F40" s="1">
        <v>4990000000</v>
      </c>
      <c r="G40" s="1">
        <v>140000000</v>
      </c>
      <c r="H40" s="1">
        <v>0</v>
      </c>
      <c r="I40" s="1">
        <v>0</v>
      </c>
      <c r="J40" s="1">
        <v>0</v>
      </c>
      <c r="K40" s="1">
        <v>153000000</v>
      </c>
      <c r="L40" s="1">
        <v>0</v>
      </c>
      <c r="M40" s="1">
        <v>0</v>
      </c>
      <c r="N40" s="1">
        <v>6210000000</v>
      </c>
    </row>
    <row r="41" spans="1:14" x14ac:dyDescent="0.2">
      <c r="A41" t="s">
        <v>330</v>
      </c>
      <c r="B41" s="1">
        <v>377000000</v>
      </c>
      <c r="C41" s="1">
        <v>0</v>
      </c>
      <c r="D41" s="1">
        <v>0</v>
      </c>
      <c r="E41" s="1">
        <v>33900000</v>
      </c>
      <c r="F41" s="1">
        <v>6140000000</v>
      </c>
      <c r="G41" s="1">
        <v>168000000</v>
      </c>
      <c r="H41" s="1">
        <v>0</v>
      </c>
      <c r="I41" s="1">
        <v>48000000</v>
      </c>
      <c r="J41" s="1">
        <v>202000000</v>
      </c>
      <c r="K41" s="1">
        <v>1160000000</v>
      </c>
      <c r="L41" s="1">
        <v>0</v>
      </c>
      <c r="M41" s="1">
        <v>270000000</v>
      </c>
      <c r="N41" s="1">
        <v>8400000000</v>
      </c>
    </row>
    <row r="42" spans="1:14" x14ac:dyDescent="0.2">
      <c r="A42" t="s">
        <v>331</v>
      </c>
      <c r="B42" s="1">
        <v>246000000</v>
      </c>
      <c r="C42" s="1">
        <v>0</v>
      </c>
      <c r="D42" s="1">
        <v>0</v>
      </c>
      <c r="E42" s="1">
        <v>27600000</v>
      </c>
      <c r="F42" s="1">
        <v>4780000000</v>
      </c>
      <c r="G42" s="1">
        <v>132000000</v>
      </c>
      <c r="H42" s="1">
        <v>0</v>
      </c>
      <c r="I42" s="1">
        <v>41200000</v>
      </c>
      <c r="J42" s="1">
        <v>160000000</v>
      </c>
      <c r="K42" s="1">
        <v>1070000000</v>
      </c>
      <c r="L42" s="1">
        <v>0</v>
      </c>
      <c r="M42" s="1">
        <v>221000000</v>
      </c>
      <c r="N42" s="1">
        <v>6680000000</v>
      </c>
    </row>
    <row r="43" spans="1:14" x14ac:dyDescent="0.2">
      <c r="A43" t="s">
        <v>332</v>
      </c>
      <c r="B43" s="1">
        <v>448000000</v>
      </c>
      <c r="C43" s="1">
        <v>0</v>
      </c>
      <c r="D43" s="1">
        <v>0</v>
      </c>
      <c r="E43" s="1">
        <v>25400000</v>
      </c>
      <c r="F43" s="1">
        <v>3790000000</v>
      </c>
      <c r="G43" s="1">
        <v>106000000</v>
      </c>
      <c r="H43" s="1">
        <v>0</v>
      </c>
      <c r="I43" s="1">
        <v>33200000</v>
      </c>
      <c r="J43" s="1">
        <v>171000000</v>
      </c>
      <c r="K43" s="1">
        <v>826000000</v>
      </c>
      <c r="L43" s="1">
        <v>0</v>
      </c>
      <c r="M43" s="1">
        <v>249000000</v>
      </c>
      <c r="N43" s="1">
        <v>5650000000</v>
      </c>
    </row>
    <row r="44" spans="1:14" x14ac:dyDescent="0.2">
      <c r="A44" t="s">
        <v>333</v>
      </c>
      <c r="B44" s="1">
        <v>487000000</v>
      </c>
      <c r="C44" s="1">
        <v>6740000</v>
      </c>
      <c r="D44" s="1">
        <v>189000</v>
      </c>
      <c r="E44" s="1">
        <v>188000000</v>
      </c>
      <c r="F44" s="1">
        <v>12800000000</v>
      </c>
      <c r="G44" s="1">
        <v>187000000</v>
      </c>
      <c r="H44" s="1">
        <v>7480000</v>
      </c>
      <c r="I44" s="1">
        <v>297000000</v>
      </c>
      <c r="J44" s="1">
        <v>35900000</v>
      </c>
      <c r="K44" s="1">
        <v>0</v>
      </c>
      <c r="L44" s="1">
        <v>0</v>
      </c>
      <c r="M44" s="1">
        <v>779000000</v>
      </c>
      <c r="N44" s="1">
        <v>14800000000</v>
      </c>
    </row>
    <row r="45" spans="1:14" x14ac:dyDescent="0.2">
      <c r="A45" t="s">
        <v>334</v>
      </c>
      <c r="B45" s="1">
        <v>480000000</v>
      </c>
      <c r="C45" s="1">
        <v>8850000</v>
      </c>
      <c r="D45" s="1">
        <v>97600</v>
      </c>
      <c r="E45" s="1">
        <v>216000000</v>
      </c>
      <c r="F45" s="1">
        <v>16900000000</v>
      </c>
      <c r="G45" s="1">
        <v>192000000</v>
      </c>
      <c r="H45" s="1">
        <v>8110000</v>
      </c>
      <c r="I45" s="1">
        <v>342000000</v>
      </c>
      <c r="J45" s="1">
        <v>36700000</v>
      </c>
      <c r="K45" s="1">
        <v>0</v>
      </c>
      <c r="L45" s="1">
        <v>0</v>
      </c>
      <c r="M45" s="1">
        <v>718000000</v>
      </c>
      <c r="N45" s="1">
        <v>18900000000</v>
      </c>
    </row>
    <row r="46" spans="1:14" x14ac:dyDescent="0.2">
      <c r="A46" t="s">
        <v>335</v>
      </c>
      <c r="B46" s="1">
        <v>418000000</v>
      </c>
      <c r="C46" s="1">
        <v>10400000</v>
      </c>
      <c r="D46" s="1">
        <v>409000</v>
      </c>
      <c r="E46" s="1">
        <v>193000000</v>
      </c>
      <c r="F46" s="1">
        <v>12800000000</v>
      </c>
      <c r="G46" s="1">
        <v>218000000</v>
      </c>
      <c r="H46" s="1">
        <v>8730000</v>
      </c>
      <c r="I46" s="1">
        <v>352000000</v>
      </c>
      <c r="J46" s="1">
        <v>35000000</v>
      </c>
      <c r="K46" s="1">
        <v>0</v>
      </c>
      <c r="L46" s="1">
        <v>0</v>
      </c>
      <c r="M46" s="1">
        <v>571000000</v>
      </c>
      <c r="N46" s="1">
        <v>14700000000</v>
      </c>
    </row>
    <row r="47" spans="1:14" x14ac:dyDescent="0.2">
      <c r="A47" t="s">
        <v>336</v>
      </c>
      <c r="B47" s="1">
        <v>781000000</v>
      </c>
      <c r="C47" s="1">
        <v>0</v>
      </c>
      <c r="D47" s="1">
        <v>0</v>
      </c>
      <c r="E47" s="1">
        <v>0</v>
      </c>
      <c r="F47" s="1">
        <v>4660000000</v>
      </c>
      <c r="G47" s="1">
        <v>165000000</v>
      </c>
      <c r="H47" s="1">
        <v>0</v>
      </c>
      <c r="I47" s="1">
        <v>40200000</v>
      </c>
      <c r="J47" s="1">
        <v>0</v>
      </c>
      <c r="K47" s="1">
        <v>0</v>
      </c>
      <c r="L47" s="1">
        <v>0</v>
      </c>
      <c r="M47" s="1">
        <v>5680</v>
      </c>
      <c r="N47" s="1">
        <v>5650000000</v>
      </c>
    </row>
    <row r="48" spans="1:14" x14ac:dyDescent="0.2">
      <c r="A48" t="s">
        <v>337</v>
      </c>
      <c r="B48" s="1">
        <v>1620000000</v>
      </c>
      <c r="C48" s="1">
        <v>0</v>
      </c>
      <c r="D48" s="1">
        <v>0</v>
      </c>
      <c r="E48" s="1">
        <v>10100</v>
      </c>
      <c r="F48" s="1">
        <v>5920000000</v>
      </c>
      <c r="G48" s="1">
        <v>176000000</v>
      </c>
      <c r="H48" s="1">
        <v>0</v>
      </c>
      <c r="I48" s="1">
        <v>72500000</v>
      </c>
      <c r="J48" s="1">
        <v>24300</v>
      </c>
      <c r="K48" s="1">
        <v>0</v>
      </c>
      <c r="L48" s="1">
        <v>0</v>
      </c>
      <c r="M48" s="1">
        <v>28400</v>
      </c>
      <c r="N48" s="1">
        <v>7790000000</v>
      </c>
    </row>
    <row r="49" spans="1:14" x14ac:dyDescent="0.2">
      <c r="A49" t="s">
        <v>338</v>
      </c>
      <c r="B49" s="1">
        <v>565000000</v>
      </c>
      <c r="C49" s="1">
        <v>0</v>
      </c>
      <c r="D49" s="1">
        <v>0</v>
      </c>
      <c r="E49" s="1">
        <v>0</v>
      </c>
      <c r="F49" s="1">
        <v>2140000000</v>
      </c>
      <c r="G49" s="1">
        <v>72700000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7280</v>
      </c>
      <c r="N49" s="1">
        <v>2780000000</v>
      </c>
    </row>
    <row r="50" spans="1:14" x14ac:dyDescent="0.2">
      <c r="A50" t="s">
        <v>339</v>
      </c>
      <c r="B50" s="1">
        <v>445000000</v>
      </c>
      <c r="C50" s="1">
        <v>0</v>
      </c>
      <c r="D50" s="1">
        <v>0</v>
      </c>
      <c r="E50" s="1">
        <v>45800000</v>
      </c>
      <c r="F50" s="1">
        <v>5860000000</v>
      </c>
      <c r="G50" s="1">
        <v>137000000</v>
      </c>
      <c r="H50" s="1">
        <v>0</v>
      </c>
      <c r="I50" s="1">
        <v>51000000</v>
      </c>
      <c r="J50" s="1">
        <v>214000000</v>
      </c>
      <c r="K50" s="1">
        <v>0</v>
      </c>
      <c r="L50" s="1">
        <v>0</v>
      </c>
      <c r="M50" s="1">
        <v>367000000</v>
      </c>
      <c r="N50" s="1">
        <v>7120000000</v>
      </c>
    </row>
    <row r="51" spans="1:14" x14ac:dyDescent="0.2">
      <c r="A51" t="s">
        <v>340</v>
      </c>
      <c r="B51" s="1">
        <v>355000000</v>
      </c>
      <c r="C51" s="1">
        <v>0</v>
      </c>
      <c r="D51" s="1">
        <v>0</v>
      </c>
      <c r="E51" s="1">
        <v>53200000</v>
      </c>
      <c r="F51" s="1">
        <v>4910000000</v>
      </c>
      <c r="G51" s="1">
        <v>141000000</v>
      </c>
      <c r="H51" s="1">
        <v>0</v>
      </c>
      <c r="I51" s="1">
        <v>56300000</v>
      </c>
      <c r="J51" s="1">
        <v>238000000</v>
      </c>
      <c r="K51" s="1">
        <v>0</v>
      </c>
      <c r="L51" s="1">
        <v>0</v>
      </c>
      <c r="M51" s="1">
        <v>214000000</v>
      </c>
      <c r="N51" s="1">
        <v>5960000000</v>
      </c>
    </row>
    <row r="52" spans="1:14" x14ac:dyDescent="0.2">
      <c r="A52" t="s">
        <v>341</v>
      </c>
      <c r="B52" s="1">
        <v>273000000</v>
      </c>
      <c r="C52" s="1">
        <v>0</v>
      </c>
      <c r="D52" s="1">
        <v>0</v>
      </c>
      <c r="E52" s="1">
        <v>44100000</v>
      </c>
      <c r="F52" s="1">
        <v>4240000000</v>
      </c>
      <c r="G52" s="1">
        <v>108000000</v>
      </c>
      <c r="H52" s="1">
        <v>0</v>
      </c>
      <c r="I52" s="1">
        <v>47400000</v>
      </c>
      <c r="J52" s="1">
        <v>156000000</v>
      </c>
      <c r="K52" s="1">
        <v>0</v>
      </c>
      <c r="L52" s="1">
        <v>0</v>
      </c>
      <c r="M52" s="1">
        <v>205000000</v>
      </c>
      <c r="N52" s="1">
        <v>5070000000</v>
      </c>
    </row>
    <row r="53" spans="1:14" x14ac:dyDescent="0.2">
      <c r="A53" t="s">
        <v>264</v>
      </c>
      <c r="B53" s="1">
        <v>0</v>
      </c>
      <c r="C53" s="1">
        <v>6950000</v>
      </c>
      <c r="D53" s="1">
        <v>0</v>
      </c>
      <c r="E53" s="1">
        <v>54700000</v>
      </c>
      <c r="F53" s="1">
        <v>13300000000</v>
      </c>
      <c r="G53" s="1">
        <v>217000000</v>
      </c>
      <c r="H53" s="1">
        <v>5240000</v>
      </c>
      <c r="I53" s="1">
        <v>303000000</v>
      </c>
      <c r="J53" s="1">
        <v>194000000</v>
      </c>
      <c r="K53" s="1">
        <v>13100000000</v>
      </c>
      <c r="L53" s="1">
        <v>73700000</v>
      </c>
      <c r="M53" s="1">
        <v>336000000</v>
      </c>
      <c r="N53" s="1">
        <v>27600000000</v>
      </c>
    </row>
    <row r="54" spans="1:14" x14ac:dyDescent="0.2">
      <c r="A54" t="s">
        <v>265</v>
      </c>
      <c r="B54" s="1">
        <v>0</v>
      </c>
      <c r="C54" s="1">
        <v>21500000</v>
      </c>
      <c r="D54" s="1">
        <v>0</v>
      </c>
      <c r="E54" s="1">
        <v>152000000</v>
      </c>
      <c r="F54" s="1">
        <v>38300000000</v>
      </c>
      <c r="G54" s="1">
        <v>466000000</v>
      </c>
      <c r="H54" s="1">
        <v>12400000</v>
      </c>
      <c r="I54" s="1">
        <v>809000000</v>
      </c>
      <c r="J54" s="1">
        <v>470000000</v>
      </c>
      <c r="K54" s="1">
        <v>32200000000</v>
      </c>
      <c r="L54" s="1">
        <v>178000000</v>
      </c>
      <c r="M54" s="1">
        <v>842000000</v>
      </c>
      <c r="N54" s="1">
        <v>73500000000</v>
      </c>
    </row>
    <row r="55" spans="1:14" x14ac:dyDescent="0.2">
      <c r="A55" t="s">
        <v>266</v>
      </c>
      <c r="B55" s="1">
        <v>0</v>
      </c>
      <c r="C55" s="1">
        <v>13600000</v>
      </c>
      <c r="D55" s="1">
        <v>0</v>
      </c>
      <c r="E55" s="1">
        <v>96700000</v>
      </c>
      <c r="F55" s="1">
        <v>25400000000</v>
      </c>
      <c r="G55" s="1">
        <v>365000000</v>
      </c>
      <c r="H55" s="1">
        <v>11300000</v>
      </c>
      <c r="I55" s="1">
        <v>501000000</v>
      </c>
      <c r="J55" s="1">
        <v>291000000</v>
      </c>
      <c r="K55" s="1">
        <v>22600000000</v>
      </c>
      <c r="L55" s="1">
        <v>118000000</v>
      </c>
      <c r="M55" s="1">
        <v>453000000</v>
      </c>
      <c r="N55" s="1">
        <v>49900000000</v>
      </c>
    </row>
    <row r="56" spans="1:14" x14ac:dyDescent="0.2">
      <c r="A56" t="s">
        <v>342</v>
      </c>
      <c r="B56" s="1">
        <v>0</v>
      </c>
      <c r="C56" s="1">
        <v>23300</v>
      </c>
      <c r="D56" s="1">
        <v>0</v>
      </c>
      <c r="E56" s="1">
        <v>0</v>
      </c>
      <c r="F56" s="1">
        <v>1300000000</v>
      </c>
      <c r="G56" s="1">
        <v>622000000</v>
      </c>
      <c r="H56" s="1">
        <v>0</v>
      </c>
      <c r="I56" s="1">
        <v>0</v>
      </c>
      <c r="J56" s="1">
        <v>0</v>
      </c>
      <c r="K56" s="1">
        <v>10700</v>
      </c>
      <c r="L56" s="1">
        <v>0</v>
      </c>
      <c r="M56" s="1">
        <v>0</v>
      </c>
      <c r="N56" s="1">
        <v>1930000000</v>
      </c>
    </row>
    <row r="57" spans="1:14" x14ac:dyDescent="0.2">
      <c r="A57" t="s">
        <v>343</v>
      </c>
      <c r="B57" s="1">
        <v>0</v>
      </c>
      <c r="C57" s="1">
        <v>43100</v>
      </c>
      <c r="D57" s="1">
        <v>0</v>
      </c>
      <c r="E57" s="1">
        <v>13600000</v>
      </c>
      <c r="F57" s="1">
        <v>3420000000</v>
      </c>
      <c r="G57" s="1">
        <v>842000000</v>
      </c>
      <c r="H57" s="1">
        <v>0</v>
      </c>
      <c r="I57" s="1">
        <v>0</v>
      </c>
      <c r="J57" s="1">
        <v>0</v>
      </c>
      <c r="K57" s="1">
        <v>73200</v>
      </c>
      <c r="L57" s="1">
        <v>0</v>
      </c>
      <c r="M57" s="1">
        <v>147000000</v>
      </c>
      <c r="N57" s="1">
        <v>4420000000</v>
      </c>
    </row>
    <row r="58" spans="1:14" x14ac:dyDescent="0.2">
      <c r="A58" t="s">
        <v>344</v>
      </c>
      <c r="B58" s="1">
        <v>0</v>
      </c>
      <c r="C58" s="1">
        <v>69600</v>
      </c>
      <c r="D58" s="1">
        <v>0</v>
      </c>
      <c r="E58" s="1">
        <v>6440000</v>
      </c>
      <c r="F58" s="1">
        <v>1370000000</v>
      </c>
      <c r="G58" s="1">
        <v>1070000000</v>
      </c>
      <c r="H58" s="1">
        <v>0</v>
      </c>
      <c r="I58" s="1">
        <v>0</v>
      </c>
      <c r="J58" s="1">
        <v>0</v>
      </c>
      <c r="K58" s="1">
        <v>32300</v>
      </c>
      <c r="L58" s="1">
        <v>0</v>
      </c>
      <c r="M58" s="1">
        <v>0</v>
      </c>
      <c r="N58" s="1">
        <v>2450000000</v>
      </c>
    </row>
    <row r="59" spans="1:14" x14ac:dyDescent="0.2">
      <c r="A59" t="s">
        <v>345</v>
      </c>
      <c r="B59" s="1">
        <v>0</v>
      </c>
      <c r="C59" s="1">
        <v>68100000</v>
      </c>
      <c r="D59" s="1">
        <v>0</v>
      </c>
      <c r="E59" s="1">
        <v>16300000</v>
      </c>
      <c r="F59" s="1">
        <v>1710000000</v>
      </c>
      <c r="G59" s="1">
        <v>79400000</v>
      </c>
      <c r="H59" s="1">
        <v>0</v>
      </c>
      <c r="I59" s="1">
        <v>0</v>
      </c>
      <c r="J59" s="1">
        <v>1410000000</v>
      </c>
      <c r="K59" s="1">
        <v>1290000000</v>
      </c>
      <c r="L59" s="1">
        <v>0</v>
      </c>
      <c r="M59" s="1">
        <v>321000000</v>
      </c>
      <c r="N59" s="1">
        <v>4890000000</v>
      </c>
    </row>
    <row r="60" spans="1:14" x14ac:dyDescent="0.2">
      <c r="A60" t="s">
        <v>346</v>
      </c>
      <c r="B60" s="1">
        <v>0</v>
      </c>
      <c r="C60" s="1">
        <v>31100000</v>
      </c>
      <c r="D60" s="1">
        <v>0</v>
      </c>
      <c r="E60" s="1">
        <v>39500000</v>
      </c>
      <c r="F60" s="1">
        <v>731000000</v>
      </c>
      <c r="G60" s="1">
        <v>63700000</v>
      </c>
      <c r="H60" s="1">
        <v>0</v>
      </c>
      <c r="I60" s="1">
        <v>0</v>
      </c>
      <c r="J60" s="1">
        <v>1180000000</v>
      </c>
      <c r="K60" s="1">
        <v>1460000000</v>
      </c>
      <c r="L60" s="1">
        <v>0</v>
      </c>
      <c r="M60" s="1">
        <v>279000000</v>
      </c>
      <c r="N60" s="1">
        <v>3790000000</v>
      </c>
    </row>
    <row r="61" spans="1:14" x14ac:dyDescent="0.2">
      <c r="A61" t="s">
        <v>347</v>
      </c>
      <c r="B61" s="1">
        <v>0</v>
      </c>
      <c r="C61" s="1">
        <v>76000000</v>
      </c>
      <c r="D61" s="1">
        <v>0</v>
      </c>
      <c r="E61" s="1">
        <v>51200000</v>
      </c>
      <c r="F61" s="1">
        <v>6580000000</v>
      </c>
      <c r="G61" s="1">
        <v>214000000</v>
      </c>
      <c r="H61" s="1">
        <v>0</v>
      </c>
      <c r="I61" s="1">
        <v>62500000</v>
      </c>
      <c r="J61" s="1">
        <v>1770000000</v>
      </c>
      <c r="K61" s="1">
        <v>1550000000</v>
      </c>
      <c r="L61" s="1">
        <v>0</v>
      </c>
      <c r="M61" s="1">
        <v>0</v>
      </c>
      <c r="N61" s="1">
        <v>10300000000</v>
      </c>
    </row>
    <row r="62" spans="1:14" x14ac:dyDescent="0.2">
      <c r="A62" t="s">
        <v>348</v>
      </c>
      <c r="B62" s="1">
        <v>169000000</v>
      </c>
      <c r="C62" s="1">
        <v>1680000</v>
      </c>
      <c r="D62" s="1">
        <v>0</v>
      </c>
      <c r="E62" s="1">
        <v>31000000</v>
      </c>
      <c r="F62" s="1">
        <v>0</v>
      </c>
      <c r="G62" s="1">
        <v>208000000</v>
      </c>
      <c r="H62" s="1">
        <v>4080000</v>
      </c>
      <c r="I62" s="1">
        <v>257000000</v>
      </c>
      <c r="J62" s="1">
        <v>6310000</v>
      </c>
      <c r="K62" s="1">
        <v>5300000000</v>
      </c>
      <c r="L62" s="1">
        <v>0</v>
      </c>
      <c r="M62" s="1">
        <v>0</v>
      </c>
      <c r="N62" s="1">
        <v>5980000000</v>
      </c>
    </row>
    <row r="63" spans="1:14" x14ac:dyDescent="0.2">
      <c r="A63" t="s">
        <v>349</v>
      </c>
      <c r="B63" s="1">
        <v>448000000</v>
      </c>
      <c r="C63" s="1">
        <v>4340000</v>
      </c>
      <c r="D63" s="1">
        <v>0</v>
      </c>
      <c r="E63" s="1">
        <v>49400000</v>
      </c>
      <c r="F63" s="1">
        <v>0</v>
      </c>
      <c r="G63" s="1">
        <v>338000000</v>
      </c>
      <c r="H63" s="1">
        <v>5900000</v>
      </c>
      <c r="I63" s="1">
        <v>402000000</v>
      </c>
      <c r="J63" s="1">
        <v>12800000</v>
      </c>
      <c r="K63" s="1">
        <v>7510000000</v>
      </c>
      <c r="L63" s="1">
        <v>0</v>
      </c>
      <c r="M63" s="1">
        <v>0</v>
      </c>
      <c r="N63" s="1">
        <v>8770000000</v>
      </c>
    </row>
    <row r="64" spans="1:14" x14ac:dyDescent="0.2">
      <c r="A64" t="s">
        <v>350</v>
      </c>
      <c r="B64" s="1">
        <v>153000000</v>
      </c>
      <c r="C64" s="1">
        <v>1450000</v>
      </c>
      <c r="D64" s="1">
        <v>0</v>
      </c>
      <c r="E64" s="1">
        <v>29000000</v>
      </c>
      <c r="F64" s="1">
        <v>0</v>
      </c>
      <c r="G64" s="1">
        <v>210000000</v>
      </c>
      <c r="H64" s="1">
        <v>3660000</v>
      </c>
      <c r="I64" s="1">
        <v>246000000</v>
      </c>
      <c r="J64" s="1">
        <v>7520000</v>
      </c>
      <c r="K64" s="1">
        <v>4560000000</v>
      </c>
      <c r="L64" s="1">
        <v>0</v>
      </c>
      <c r="M64" s="1">
        <v>0</v>
      </c>
      <c r="N64" s="1">
        <v>5210000000</v>
      </c>
    </row>
    <row r="65" spans="1:14" x14ac:dyDescent="0.2">
      <c r="A65" t="s">
        <v>351</v>
      </c>
      <c r="B65" s="1">
        <v>1280000000</v>
      </c>
      <c r="C65" s="1">
        <v>18300</v>
      </c>
      <c r="D65" s="1">
        <v>0</v>
      </c>
      <c r="E65" s="1">
        <v>0</v>
      </c>
      <c r="F65" s="1">
        <v>5100000000</v>
      </c>
      <c r="G65" s="1">
        <v>143000000</v>
      </c>
      <c r="H65" s="1">
        <v>0</v>
      </c>
      <c r="I65" s="1">
        <v>29600000</v>
      </c>
      <c r="J65" s="1">
        <v>0</v>
      </c>
      <c r="K65" s="1">
        <v>20100</v>
      </c>
      <c r="L65" s="1">
        <v>0</v>
      </c>
      <c r="M65" s="1">
        <v>0</v>
      </c>
      <c r="N65" s="1">
        <v>6550000000</v>
      </c>
    </row>
    <row r="66" spans="1:14" x14ac:dyDescent="0.2">
      <c r="A66" t="s">
        <v>352</v>
      </c>
      <c r="B66" s="1">
        <v>1570000000</v>
      </c>
      <c r="C66" s="1">
        <v>0</v>
      </c>
      <c r="D66" s="1">
        <v>0</v>
      </c>
      <c r="E66" s="1">
        <v>0</v>
      </c>
      <c r="F66" s="1">
        <v>4880000000</v>
      </c>
      <c r="G66" s="1">
        <v>162000000</v>
      </c>
      <c r="H66" s="1">
        <v>0</v>
      </c>
      <c r="I66" s="1">
        <v>63700000</v>
      </c>
      <c r="J66" s="1">
        <v>0</v>
      </c>
      <c r="K66" s="1">
        <v>0</v>
      </c>
      <c r="L66" s="1">
        <v>0</v>
      </c>
      <c r="M66" s="1">
        <v>0</v>
      </c>
      <c r="N66" s="1">
        <v>6680000000</v>
      </c>
    </row>
    <row r="67" spans="1:14" x14ac:dyDescent="0.2">
      <c r="A67" t="s">
        <v>353</v>
      </c>
      <c r="B67" s="1">
        <v>1480000000</v>
      </c>
      <c r="C67" s="1">
        <v>0</v>
      </c>
      <c r="D67" s="1">
        <v>0</v>
      </c>
      <c r="E67" s="1">
        <v>0</v>
      </c>
      <c r="F67" s="1">
        <v>6040000000</v>
      </c>
      <c r="G67" s="1">
        <v>165000000</v>
      </c>
      <c r="H67" s="1">
        <v>0</v>
      </c>
      <c r="I67" s="1">
        <v>52100000</v>
      </c>
      <c r="J67" s="1">
        <v>0</v>
      </c>
      <c r="K67" s="1">
        <v>19400</v>
      </c>
      <c r="L67" s="1">
        <v>0</v>
      </c>
      <c r="M67" s="1">
        <v>0</v>
      </c>
      <c r="N67" s="1">
        <v>7740000000</v>
      </c>
    </row>
    <row r="68" spans="1:14" x14ac:dyDescent="0.2">
      <c r="A68" t="s">
        <v>354</v>
      </c>
      <c r="B68" s="1">
        <v>1220000000</v>
      </c>
      <c r="C68" s="1">
        <v>1220000</v>
      </c>
      <c r="D68" s="1">
        <v>0</v>
      </c>
      <c r="E68" s="1">
        <v>14500000</v>
      </c>
      <c r="F68" s="1">
        <v>97400</v>
      </c>
      <c r="G68" s="1">
        <v>154000000</v>
      </c>
      <c r="H68" s="1">
        <v>0</v>
      </c>
      <c r="I68" s="1">
        <v>66900000</v>
      </c>
      <c r="J68" s="1">
        <v>84700000</v>
      </c>
      <c r="K68" s="1">
        <v>912000000</v>
      </c>
      <c r="L68" s="1">
        <v>0</v>
      </c>
      <c r="M68" s="1">
        <v>0</v>
      </c>
      <c r="N68" s="1">
        <v>2450000000</v>
      </c>
    </row>
    <row r="69" spans="1:14" x14ac:dyDescent="0.2">
      <c r="A69" t="s">
        <v>355</v>
      </c>
      <c r="B69" s="1">
        <v>456000000</v>
      </c>
      <c r="C69" s="1">
        <v>0</v>
      </c>
      <c r="D69" s="1">
        <v>0</v>
      </c>
      <c r="E69" s="1">
        <v>14400000</v>
      </c>
      <c r="F69" s="1">
        <v>969000</v>
      </c>
      <c r="G69" s="1">
        <v>187000000</v>
      </c>
      <c r="H69" s="1">
        <v>0</v>
      </c>
      <c r="I69" s="1">
        <v>47100000</v>
      </c>
      <c r="J69" s="1">
        <v>105000000</v>
      </c>
      <c r="K69" s="1">
        <v>841000000</v>
      </c>
      <c r="L69" s="1">
        <v>0</v>
      </c>
      <c r="M69" s="1">
        <v>0</v>
      </c>
      <c r="N69" s="1">
        <v>1650000000</v>
      </c>
    </row>
    <row r="70" spans="1:14" x14ac:dyDescent="0.2">
      <c r="A70" t="s">
        <v>356</v>
      </c>
      <c r="B70" s="1">
        <v>479000000</v>
      </c>
      <c r="C70" s="1">
        <v>0</v>
      </c>
      <c r="D70" s="1">
        <v>0</v>
      </c>
      <c r="E70" s="1">
        <v>16700000</v>
      </c>
      <c r="F70" s="1">
        <v>235000</v>
      </c>
      <c r="G70" s="1">
        <v>186000000</v>
      </c>
      <c r="H70" s="1">
        <v>0</v>
      </c>
      <c r="I70" s="1">
        <v>80700000</v>
      </c>
      <c r="J70" s="1">
        <v>106000000</v>
      </c>
      <c r="K70" s="1">
        <v>901000000</v>
      </c>
      <c r="L70" s="1">
        <v>0</v>
      </c>
      <c r="M70" s="1">
        <v>0</v>
      </c>
      <c r="N70" s="1">
        <v>1770000000</v>
      </c>
    </row>
    <row r="71" spans="1:14" x14ac:dyDescent="0.2">
      <c r="A71" t="s">
        <v>267</v>
      </c>
      <c r="B71" s="1">
        <v>157000000</v>
      </c>
      <c r="C71" s="1">
        <v>3240000</v>
      </c>
      <c r="D71" s="1">
        <v>0</v>
      </c>
      <c r="E71" s="1">
        <v>43900000</v>
      </c>
      <c r="F71" s="1">
        <v>7350000000</v>
      </c>
      <c r="G71" s="1">
        <v>113000000</v>
      </c>
      <c r="H71" s="1">
        <v>3950000</v>
      </c>
      <c r="I71" s="1">
        <v>176000000</v>
      </c>
      <c r="J71" s="1">
        <v>12800000</v>
      </c>
      <c r="K71" s="1">
        <v>5970000000</v>
      </c>
      <c r="L71" s="1">
        <v>0</v>
      </c>
      <c r="M71" s="1">
        <v>358000000</v>
      </c>
      <c r="N71" s="1">
        <v>14200000000</v>
      </c>
    </row>
    <row r="72" spans="1:14" x14ac:dyDescent="0.2">
      <c r="A72" t="s">
        <v>268</v>
      </c>
      <c r="B72" s="1">
        <v>235000000</v>
      </c>
      <c r="C72" s="1">
        <v>3110000</v>
      </c>
      <c r="D72" s="1">
        <v>0</v>
      </c>
      <c r="E72" s="1">
        <v>50900000</v>
      </c>
      <c r="F72" s="1">
        <v>10000000000</v>
      </c>
      <c r="G72" s="1">
        <v>136000000</v>
      </c>
      <c r="H72" s="1">
        <v>4880000</v>
      </c>
      <c r="I72" s="1">
        <v>202000000</v>
      </c>
      <c r="J72" s="1">
        <v>17700000</v>
      </c>
      <c r="K72" s="1">
        <v>7540000000</v>
      </c>
      <c r="L72" s="1">
        <v>0</v>
      </c>
      <c r="M72" s="1">
        <v>484000000</v>
      </c>
      <c r="N72" s="1">
        <v>18700000000</v>
      </c>
    </row>
    <row r="73" spans="1:14" x14ac:dyDescent="0.2">
      <c r="A73" t="s">
        <v>269</v>
      </c>
      <c r="B73" s="1">
        <v>241000000</v>
      </c>
      <c r="C73" s="1">
        <v>2450000</v>
      </c>
      <c r="D73" s="1">
        <v>0</v>
      </c>
      <c r="E73" s="1">
        <v>74300000</v>
      </c>
      <c r="F73" s="1">
        <v>12300000000</v>
      </c>
      <c r="G73" s="1">
        <v>175000000</v>
      </c>
      <c r="H73" s="1">
        <v>6520000</v>
      </c>
      <c r="I73" s="1">
        <v>313000000</v>
      </c>
      <c r="J73" s="1">
        <v>13200000</v>
      </c>
      <c r="K73" s="1">
        <v>11200000000</v>
      </c>
      <c r="L73" s="1">
        <v>0</v>
      </c>
      <c r="M73" s="1">
        <v>439000000</v>
      </c>
      <c r="N73" s="1">
        <v>24800000000</v>
      </c>
    </row>
    <row r="74" spans="1:14" x14ac:dyDescent="0.2">
      <c r="A74" t="s">
        <v>357</v>
      </c>
      <c r="B74" s="1">
        <v>635000000</v>
      </c>
      <c r="C74" s="1">
        <v>0</v>
      </c>
      <c r="D74" s="1">
        <v>0</v>
      </c>
      <c r="E74" s="1">
        <v>0</v>
      </c>
      <c r="F74" s="1">
        <v>3980000000</v>
      </c>
      <c r="G74" s="1">
        <v>120000000</v>
      </c>
      <c r="H74" s="1">
        <v>0</v>
      </c>
      <c r="I74" s="1">
        <v>38200000</v>
      </c>
      <c r="J74" s="1">
        <v>0</v>
      </c>
      <c r="K74" s="1">
        <v>28000</v>
      </c>
      <c r="L74" s="1">
        <v>0</v>
      </c>
      <c r="M74" s="1">
        <v>15600</v>
      </c>
      <c r="N74" s="1">
        <v>4780000000</v>
      </c>
    </row>
    <row r="75" spans="1:14" x14ac:dyDescent="0.2">
      <c r="A75" t="s">
        <v>358</v>
      </c>
      <c r="B75" s="1">
        <v>1110000000</v>
      </c>
      <c r="C75" s="1">
        <v>15400</v>
      </c>
      <c r="D75" s="1">
        <v>0</v>
      </c>
      <c r="E75" s="1">
        <v>0</v>
      </c>
      <c r="F75" s="1">
        <v>3860000000</v>
      </c>
      <c r="G75" s="1">
        <v>104000000</v>
      </c>
      <c r="H75" s="1">
        <v>0</v>
      </c>
      <c r="I75" s="1">
        <v>28000000</v>
      </c>
      <c r="J75" s="1">
        <v>0</v>
      </c>
      <c r="K75" s="1">
        <v>0</v>
      </c>
      <c r="L75" s="1">
        <v>0</v>
      </c>
      <c r="M75" s="1">
        <v>0</v>
      </c>
      <c r="N75" s="1">
        <v>5100000000</v>
      </c>
    </row>
    <row r="76" spans="1:14" x14ac:dyDescent="0.2">
      <c r="A76" t="s">
        <v>359</v>
      </c>
      <c r="B76" s="1">
        <v>1050000000</v>
      </c>
      <c r="C76" s="1">
        <v>0</v>
      </c>
      <c r="D76" s="1">
        <v>0</v>
      </c>
      <c r="E76" s="1">
        <v>0</v>
      </c>
      <c r="F76" s="1">
        <v>4620000000</v>
      </c>
      <c r="G76" s="1">
        <v>126000000</v>
      </c>
      <c r="H76" s="1">
        <v>0</v>
      </c>
      <c r="I76" s="1">
        <v>48700000</v>
      </c>
      <c r="J76" s="1">
        <v>0</v>
      </c>
      <c r="K76" s="1">
        <v>0</v>
      </c>
      <c r="L76" s="1">
        <v>0</v>
      </c>
      <c r="M76" s="1">
        <v>0</v>
      </c>
      <c r="N76" s="1">
        <v>5840000000</v>
      </c>
    </row>
    <row r="77" spans="1:14" x14ac:dyDescent="0.2">
      <c r="A77" t="s">
        <v>360</v>
      </c>
      <c r="B77" s="1">
        <v>126000000</v>
      </c>
      <c r="C77" s="1">
        <v>0</v>
      </c>
      <c r="D77" s="1">
        <v>0</v>
      </c>
      <c r="E77" s="1">
        <v>27900000</v>
      </c>
      <c r="F77" s="1">
        <v>5820000000</v>
      </c>
      <c r="G77" s="1">
        <v>104000000</v>
      </c>
      <c r="H77" s="1">
        <v>0</v>
      </c>
      <c r="I77" s="1">
        <v>44200000</v>
      </c>
      <c r="J77" s="1">
        <v>192000000</v>
      </c>
      <c r="K77" s="1">
        <v>918000000</v>
      </c>
      <c r="L77" s="1">
        <v>0</v>
      </c>
      <c r="M77" s="1">
        <v>171000000</v>
      </c>
      <c r="N77" s="1">
        <v>7400000000</v>
      </c>
    </row>
    <row r="78" spans="1:14" x14ac:dyDescent="0.2">
      <c r="A78" t="s">
        <v>361</v>
      </c>
      <c r="B78" s="1">
        <v>198000000</v>
      </c>
      <c r="C78" s="1">
        <v>0</v>
      </c>
      <c r="D78" s="1">
        <v>0</v>
      </c>
      <c r="E78" s="1">
        <v>22200000</v>
      </c>
      <c r="F78" s="1">
        <v>4860000000</v>
      </c>
      <c r="G78" s="1">
        <v>87700000</v>
      </c>
      <c r="H78" s="1">
        <v>0</v>
      </c>
      <c r="I78" s="1">
        <v>36900000</v>
      </c>
      <c r="J78" s="1">
        <v>170000000</v>
      </c>
      <c r="K78" s="1">
        <v>719000000</v>
      </c>
      <c r="L78" s="1">
        <v>0</v>
      </c>
      <c r="M78" s="1">
        <v>196000000</v>
      </c>
      <c r="N78" s="1">
        <v>6290000000</v>
      </c>
    </row>
    <row r="79" spans="1:14" x14ac:dyDescent="0.2">
      <c r="A79" t="s">
        <v>362</v>
      </c>
      <c r="B79" s="1">
        <v>375000000</v>
      </c>
      <c r="C79" s="1">
        <v>0</v>
      </c>
      <c r="D79" s="1">
        <v>0</v>
      </c>
      <c r="E79" s="1">
        <v>28000000</v>
      </c>
      <c r="F79" s="1">
        <v>5980000000</v>
      </c>
      <c r="G79" s="1">
        <v>119000000</v>
      </c>
      <c r="H79" s="1">
        <v>0</v>
      </c>
      <c r="I79" s="1">
        <v>41800000</v>
      </c>
      <c r="J79" s="1">
        <v>57100000</v>
      </c>
      <c r="K79" s="1">
        <v>823000000</v>
      </c>
      <c r="L79" s="1">
        <v>0</v>
      </c>
      <c r="M79" s="1">
        <v>85900000</v>
      </c>
      <c r="N79" s="1">
        <v>7510000000</v>
      </c>
    </row>
    <row r="80" spans="1:14" x14ac:dyDescent="0.2">
      <c r="A80" t="s">
        <v>363</v>
      </c>
      <c r="B80" s="1">
        <v>577000000</v>
      </c>
      <c r="C80" s="1">
        <v>8510000</v>
      </c>
      <c r="D80" s="1">
        <v>271000</v>
      </c>
      <c r="E80" s="1">
        <v>174000000</v>
      </c>
      <c r="F80" s="1">
        <v>9640000000</v>
      </c>
      <c r="G80" s="1">
        <v>181000000</v>
      </c>
      <c r="H80" s="1">
        <v>8240000</v>
      </c>
      <c r="I80" s="1">
        <v>312000000</v>
      </c>
      <c r="J80" s="1">
        <v>37400000</v>
      </c>
      <c r="K80" s="1">
        <v>0</v>
      </c>
      <c r="L80" s="1">
        <v>0</v>
      </c>
      <c r="M80" s="1">
        <v>903000000</v>
      </c>
      <c r="N80" s="1">
        <v>11800000000</v>
      </c>
    </row>
    <row r="81" spans="1:14" x14ac:dyDescent="0.2">
      <c r="A81" t="s">
        <v>364</v>
      </c>
      <c r="B81" s="1">
        <v>576000000</v>
      </c>
      <c r="C81" s="1">
        <v>6550000</v>
      </c>
      <c r="D81" s="1">
        <v>323000</v>
      </c>
      <c r="E81" s="1">
        <v>145000000</v>
      </c>
      <c r="F81" s="1">
        <v>6340000000</v>
      </c>
      <c r="G81" s="1">
        <v>129000000</v>
      </c>
      <c r="H81" s="1">
        <v>7410000</v>
      </c>
      <c r="I81" s="1">
        <v>265000000</v>
      </c>
      <c r="J81" s="1">
        <v>29800000</v>
      </c>
      <c r="K81" s="1">
        <v>0</v>
      </c>
      <c r="L81" s="1">
        <v>0</v>
      </c>
      <c r="M81" s="1">
        <v>664000000</v>
      </c>
      <c r="N81" s="1">
        <v>8170000000</v>
      </c>
    </row>
    <row r="82" spans="1:14" x14ac:dyDescent="0.2">
      <c r="A82" t="s">
        <v>365</v>
      </c>
      <c r="B82" s="1">
        <v>442000000</v>
      </c>
      <c r="C82" s="1">
        <v>7600000</v>
      </c>
      <c r="D82" s="1">
        <v>145000</v>
      </c>
      <c r="E82" s="1">
        <v>96200000</v>
      </c>
      <c r="F82" s="1">
        <v>7040000000</v>
      </c>
      <c r="G82" s="1">
        <v>95100000</v>
      </c>
      <c r="H82" s="1">
        <v>5240000</v>
      </c>
      <c r="I82" s="1">
        <v>186000000</v>
      </c>
      <c r="J82" s="1">
        <v>22500000</v>
      </c>
      <c r="K82" s="1">
        <v>0</v>
      </c>
      <c r="L82" s="1">
        <v>0</v>
      </c>
      <c r="M82" s="1">
        <v>626000000</v>
      </c>
      <c r="N82" s="1">
        <v>8520000000</v>
      </c>
    </row>
    <row r="83" spans="1:14" x14ac:dyDescent="0.2">
      <c r="A83" t="s">
        <v>366</v>
      </c>
      <c r="B83" s="1">
        <v>823000000</v>
      </c>
      <c r="C83" s="1">
        <v>0</v>
      </c>
      <c r="D83" s="1">
        <v>0</v>
      </c>
      <c r="E83" s="1">
        <v>0</v>
      </c>
      <c r="F83" s="1">
        <v>4600000000</v>
      </c>
      <c r="G83" s="1">
        <v>107000000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5530000000</v>
      </c>
    </row>
    <row r="84" spans="1:14" x14ac:dyDescent="0.2">
      <c r="A84" t="s">
        <v>367</v>
      </c>
      <c r="B84" s="1">
        <v>1320000000</v>
      </c>
      <c r="C84" s="1">
        <v>0</v>
      </c>
      <c r="D84" s="1">
        <v>0</v>
      </c>
      <c r="E84" s="1">
        <v>0</v>
      </c>
      <c r="F84" s="1">
        <v>4810000000</v>
      </c>
      <c r="G84" s="1">
        <v>104000000</v>
      </c>
      <c r="H84" s="1">
        <v>0</v>
      </c>
      <c r="I84" s="1">
        <v>381000</v>
      </c>
      <c r="J84" s="1">
        <v>0</v>
      </c>
      <c r="K84" s="1">
        <v>0</v>
      </c>
      <c r="L84" s="1">
        <v>0</v>
      </c>
      <c r="M84" s="1">
        <v>0</v>
      </c>
      <c r="N84" s="1">
        <v>6240000000</v>
      </c>
    </row>
    <row r="85" spans="1:14" x14ac:dyDescent="0.2">
      <c r="A85" t="s">
        <v>368</v>
      </c>
      <c r="B85" s="1">
        <v>1290000000</v>
      </c>
      <c r="C85" s="1">
        <v>0</v>
      </c>
      <c r="D85" s="1">
        <v>0</v>
      </c>
      <c r="E85" s="1">
        <v>0</v>
      </c>
      <c r="F85" s="1">
        <v>3340000000</v>
      </c>
      <c r="G85" s="1">
        <v>86700000</v>
      </c>
      <c r="H85" s="1">
        <v>0</v>
      </c>
      <c r="I85" s="1">
        <v>18500000</v>
      </c>
      <c r="J85" s="1">
        <v>0</v>
      </c>
      <c r="K85" s="1">
        <v>0</v>
      </c>
      <c r="L85" s="1">
        <v>0</v>
      </c>
      <c r="M85" s="1">
        <v>0</v>
      </c>
      <c r="N85" s="1">
        <v>4730000000</v>
      </c>
    </row>
    <row r="86" spans="1:14" x14ac:dyDescent="0.2">
      <c r="A86" t="s">
        <v>369</v>
      </c>
      <c r="B86" s="1">
        <v>267000000</v>
      </c>
      <c r="C86" s="1">
        <v>0</v>
      </c>
      <c r="D86" s="1">
        <v>0</v>
      </c>
      <c r="E86" s="1">
        <v>34200000</v>
      </c>
      <c r="F86" s="1">
        <v>4140000000</v>
      </c>
      <c r="G86" s="1">
        <v>129000000</v>
      </c>
      <c r="H86" s="1">
        <v>0</v>
      </c>
      <c r="I86" s="1">
        <v>40400000</v>
      </c>
      <c r="J86" s="1">
        <v>59500000</v>
      </c>
      <c r="K86" s="1">
        <v>0</v>
      </c>
      <c r="L86" s="1">
        <v>0</v>
      </c>
      <c r="M86" s="1">
        <v>204000000</v>
      </c>
      <c r="N86" s="1">
        <v>4870000000</v>
      </c>
    </row>
    <row r="87" spans="1:14" x14ac:dyDescent="0.2">
      <c r="A87" t="s">
        <v>370</v>
      </c>
      <c r="B87" s="1">
        <v>411000000</v>
      </c>
      <c r="C87" s="1">
        <v>201000</v>
      </c>
      <c r="D87" s="1">
        <v>0</v>
      </c>
      <c r="E87" s="1">
        <v>34200000</v>
      </c>
      <c r="F87" s="1">
        <v>4840000000</v>
      </c>
      <c r="G87" s="1">
        <v>149000000</v>
      </c>
      <c r="H87" s="1">
        <v>0</v>
      </c>
      <c r="I87" s="1">
        <v>43100000</v>
      </c>
      <c r="J87" s="1">
        <v>64300000</v>
      </c>
      <c r="K87" s="1">
        <v>0</v>
      </c>
      <c r="L87" s="1">
        <v>0</v>
      </c>
      <c r="M87" s="1">
        <v>208000000</v>
      </c>
      <c r="N87" s="1">
        <v>5750000000</v>
      </c>
    </row>
    <row r="88" spans="1:14" x14ac:dyDescent="0.2">
      <c r="A88" t="s">
        <v>371</v>
      </c>
      <c r="B88" s="1">
        <v>178000000</v>
      </c>
      <c r="C88" s="1">
        <v>0</v>
      </c>
      <c r="D88" s="1">
        <v>0</v>
      </c>
      <c r="E88" s="1">
        <v>41200000</v>
      </c>
      <c r="F88" s="1">
        <v>2110000000</v>
      </c>
      <c r="G88" s="1">
        <v>86900000</v>
      </c>
      <c r="H88" s="1">
        <v>0</v>
      </c>
      <c r="I88" s="1">
        <v>27600000</v>
      </c>
      <c r="J88" s="1">
        <v>47100000</v>
      </c>
      <c r="K88" s="1">
        <v>0</v>
      </c>
      <c r="L88" s="1">
        <v>0</v>
      </c>
      <c r="M88" s="1">
        <v>89600000</v>
      </c>
      <c r="N88" s="1">
        <v>2580000000</v>
      </c>
    </row>
    <row r="89" spans="1:14" x14ac:dyDescent="0.2">
      <c r="A89" t="s">
        <v>270</v>
      </c>
      <c r="B89" s="1">
        <v>0</v>
      </c>
      <c r="C89" s="1">
        <v>17200000</v>
      </c>
      <c r="D89" s="1">
        <v>0</v>
      </c>
      <c r="E89" s="1">
        <v>86400000</v>
      </c>
      <c r="F89" s="1">
        <v>18600000000</v>
      </c>
      <c r="G89" s="1">
        <v>292000000</v>
      </c>
      <c r="H89" s="1">
        <v>10200000</v>
      </c>
      <c r="I89" s="1">
        <v>343000000</v>
      </c>
      <c r="J89" s="1">
        <v>293000000</v>
      </c>
      <c r="K89" s="1">
        <v>11800000000</v>
      </c>
      <c r="L89" s="1">
        <v>142000000</v>
      </c>
      <c r="M89" s="1">
        <v>608000000</v>
      </c>
      <c r="N89" s="1">
        <v>32100000000</v>
      </c>
    </row>
    <row r="90" spans="1:14" x14ac:dyDescent="0.2">
      <c r="A90" t="s">
        <v>271</v>
      </c>
      <c r="B90" s="1">
        <v>0</v>
      </c>
      <c r="C90" s="1">
        <v>27200000</v>
      </c>
      <c r="D90" s="1">
        <v>0</v>
      </c>
      <c r="E90" s="1">
        <v>83300000</v>
      </c>
      <c r="F90" s="1">
        <v>22000000000</v>
      </c>
      <c r="G90" s="1">
        <v>338000000</v>
      </c>
      <c r="H90" s="1">
        <v>9720000</v>
      </c>
      <c r="I90" s="1">
        <v>441000000</v>
      </c>
      <c r="J90" s="1">
        <v>264000000</v>
      </c>
      <c r="K90" s="1">
        <v>12200000000</v>
      </c>
      <c r="L90" s="1">
        <v>132000000</v>
      </c>
      <c r="M90" s="1">
        <v>479000000</v>
      </c>
      <c r="N90" s="1">
        <v>36000000000</v>
      </c>
    </row>
    <row r="91" spans="1:14" x14ac:dyDescent="0.2">
      <c r="A91" t="s">
        <v>272</v>
      </c>
      <c r="B91" s="1">
        <v>0</v>
      </c>
      <c r="C91" s="1">
        <v>24200000</v>
      </c>
      <c r="D91" s="1">
        <v>0</v>
      </c>
      <c r="E91" s="1">
        <v>95400000</v>
      </c>
      <c r="F91" s="1">
        <v>21700000000</v>
      </c>
      <c r="G91" s="1">
        <v>315000000</v>
      </c>
      <c r="H91" s="1">
        <v>10100000</v>
      </c>
      <c r="I91" s="1">
        <v>465000000</v>
      </c>
      <c r="J91" s="1">
        <v>290000000</v>
      </c>
      <c r="K91" s="1">
        <v>12000000000</v>
      </c>
      <c r="L91" s="1">
        <v>111000000</v>
      </c>
      <c r="M91" s="1">
        <v>535000000</v>
      </c>
      <c r="N91" s="1">
        <v>35500000000</v>
      </c>
    </row>
    <row r="92" spans="1:14" x14ac:dyDescent="0.2">
      <c r="A92" t="s">
        <v>372</v>
      </c>
      <c r="B92" s="1">
        <v>0</v>
      </c>
      <c r="C92" s="1">
        <v>5600</v>
      </c>
      <c r="D92" s="1">
        <v>0</v>
      </c>
      <c r="E92" s="1">
        <v>0</v>
      </c>
      <c r="F92" s="1">
        <v>3170000000</v>
      </c>
      <c r="G92" s="1">
        <v>592000000</v>
      </c>
      <c r="H92" s="1">
        <v>6560</v>
      </c>
      <c r="I92" s="1">
        <v>0</v>
      </c>
      <c r="J92" s="1">
        <v>96000</v>
      </c>
      <c r="K92" s="1">
        <v>703000</v>
      </c>
      <c r="L92" s="1">
        <v>0</v>
      </c>
      <c r="M92" s="1">
        <v>33600</v>
      </c>
      <c r="N92" s="1">
        <v>3760000000</v>
      </c>
    </row>
    <row r="93" spans="1:14" x14ac:dyDescent="0.2">
      <c r="A93" t="s">
        <v>373</v>
      </c>
      <c r="B93" s="1">
        <v>0</v>
      </c>
      <c r="C93" s="1">
        <v>14100</v>
      </c>
      <c r="D93" s="1">
        <v>0</v>
      </c>
      <c r="E93" s="1">
        <v>0</v>
      </c>
      <c r="F93" s="1">
        <v>3030000000</v>
      </c>
      <c r="G93" s="1">
        <v>585000000</v>
      </c>
      <c r="H93" s="1">
        <v>10000</v>
      </c>
      <c r="I93" s="1">
        <v>0</v>
      </c>
      <c r="J93" s="1">
        <v>0</v>
      </c>
      <c r="K93" s="1">
        <v>29400</v>
      </c>
      <c r="L93" s="1">
        <v>0</v>
      </c>
      <c r="M93" s="1">
        <v>0</v>
      </c>
      <c r="N93" s="1">
        <v>3610000000</v>
      </c>
    </row>
    <row r="94" spans="1:14" x14ac:dyDescent="0.2">
      <c r="A94" t="s">
        <v>374</v>
      </c>
      <c r="B94" s="1">
        <v>0</v>
      </c>
      <c r="C94" s="1">
        <v>120000</v>
      </c>
      <c r="D94" s="1">
        <v>0</v>
      </c>
      <c r="E94" s="1">
        <v>0</v>
      </c>
      <c r="F94" s="1">
        <v>4140000000</v>
      </c>
      <c r="G94" s="1">
        <v>740000000</v>
      </c>
      <c r="H94" s="1">
        <v>17400</v>
      </c>
      <c r="I94" s="1">
        <v>0</v>
      </c>
      <c r="J94" s="1">
        <v>0</v>
      </c>
      <c r="K94" s="1">
        <v>8270</v>
      </c>
      <c r="L94" s="1">
        <v>0</v>
      </c>
      <c r="M94" s="1">
        <v>0</v>
      </c>
      <c r="N94" s="1">
        <v>4880000000</v>
      </c>
    </row>
    <row r="95" spans="1:14" x14ac:dyDescent="0.2">
      <c r="A95" t="s">
        <v>375</v>
      </c>
      <c r="B95" s="1">
        <v>0</v>
      </c>
      <c r="C95" s="1">
        <v>93400000</v>
      </c>
      <c r="D95" s="1">
        <v>0</v>
      </c>
      <c r="E95" s="1">
        <v>25500000</v>
      </c>
      <c r="F95" s="1">
        <v>2500000000</v>
      </c>
      <c r="G95" s="1">
        <v>48100000</v>
      </c>
      <c r="H95" s="1">
        <v>0</v>
      </c>
      <c r="I95" s="1">
        <v>300000</v>
      </c>
      <c r="J95" s="1">
        <v>1360000000</v>
      </c>
      <c r="K95" s="1">
        <v>1070000000</v>
      </c>
      <c r="L95" s="1">
        <v>0</v>
      </c>
      <c r="M95" s="1">
        <v>212000000</v>
      </c>
      <c r="N95" s="1">
        <v>5320000000</v>
      </c>
    </row>
    <row r="96" spans="1:14" x14ac:dyDescent="0.2">
      <c r="A96" t="s">
        <v>376</v>
      </c>
      <c r="B96" s="1">
        <v>0</v>
      </c>
      <c r="C96" s="1">
        <v>43400000</v>
      </c>
      <c r="D96" s="1">
        <v>0</v>
      </c>
      <c r="E96" s="1">
        <v>21300000</v>
      </c>
      <c r="F96" s="1">
        <v>1370000000</v>
      </c>
      <c r="G96" s="1">
        <v>33400000</v>
      </c>
      <c r="H96" s="1">
        <v>0</v>
      </c>
      <c r="I96" s="1">
        <v>0</v>
      </c>
      <c r="J96" s="1">
        <v>895000000</v>
      </c>
      <c r="K96" s="1">
        <v>640000000</v>
      </c>
      <c r="L96" s="1">
        <v>0</v>
      </c>
      <c r="M96" s="1">
        <v>233000000</v>
      </c>
      <c r="N96" s="1">
        <v>3240000000</v>
      </c>
    </row>
    <row r="97" spans="1:14" x14ac:dyDescent="0.2">
      <c r="A97" t="s">
        <v>377</v>
      </c>
      <c r="B97" s="1">
        <v>0</v>
      </c>
      <c r="C97" s="1">
        <v>62900000</v>
      </c>
      <c r="D97" s="1">
        <v>0</v>
      </c>
      <c r="E97" s="1">
        <v>25400000</v>
      </c>
      <c r="F97" s="1">
        <v>2080000000</v>
      </c>
      <c r="G97" s="1">
        <v>49100000</v>
      </c>
      <c r="H97" s="1">
        <v>0</v>
      </c>
      <c r="I97" s="1">
        <v>0</v>
      </c>
      <c r="J97" s="1">
        <v>1290000000</v>
      </c>
      <c r="K97" s="1">
        <v>774000000</v>
      </c>
      <c r="L97" s="1">
        <v>0</v>
      </c>
      <c r="M97" s="1">
        <v>287000000</v>
      </c>
      <c r="N97" s="1">
        <v>4570000000</v>
      </c>
    </row>
    <row r="98" spans="1:14" x14ac:dyDescent="0.2">
      <c r="A98" t="s">
        <v>378</v>
      </c>
      <c r="B98" s="1">
        <v>431000000</v>
      </c>
      <c r="C98" s="1">
        <v>3240000</v>
      </c>
      <c r="D98" s="1">
        <v>0</v>
      </c>
      <c r="E98" s="1">
        <v>29000000</v>
      </c>
      <c r="F98" s="1">
        <v>1050000</v>
      </c>
      <c r="G98" s="1">
        <v>229000000</v>
      </c>
      <c r="H98" s="1">
        <v>5920000</v>
      </c>
      <c r="I98" s="1">
        <v>257000000</v>
      </c>
      <c r="J98" s="1">
        <v>16400000</v>
      </c>
      <c r="K98" s="1">
        <v>3260000000</v>
      </c>
      <c r="L98" s="1">
        <v>0</v>
      </c>
      <c r="M98" s="1">
        <v>0</v>
      </c>
      <c r="N98" s="1">
        <v>4240000000</v>
      </c>
    </row>
    <row r="99" spans="1:14" x14ac:dyDescent="0.2">
      <c r="A99" t="s">
        <v>379</v>
      </c>
      <c r="B99" s="1">
        <v>401000000</v>
      </c>
      <c r="C99" s="1">
        <v>3420000</v>
      </c>
      <c r="D99" s="1">
        <v>0</v>
      </c>
      <c r="E99" s="1">
        <v>19200000</v>
      </c>
      <c r="F99" s="1">
        <v>1210000</v>
      </c>
      <c r="G99" s="1">
        <v>233000000</v>
      </c>
      <c r="H99" s="1">
        <v>5720000</v>
      </c>
      <c r="I99" s="1">
        <v>203000000</v>
      </c>
      <c r="J99" s="1">
        <v>17600000</v>
      </c>
      <c r="K99" s="1">
        <v>2520000000</v>
      </c>
      <c r="L99" s="1">
        <v>0</v>
      </c>
      <c r="M99" s="1">
        <v>0</v>
      </c>
      <c r="N99" s="1">
        <v>3400000000</v>
      </c>
    </row>
    <row r="100" spans="1:14" x14ac:dyDescent="0.2">
      <c r="A100" t="s">
        <v>380</v>
      </c>
      <c r="B100" s="1">
        <v>484000000</v>
      </c>
      <c r="C100" s="1">
        <v>4070000</v>
      </c>
      <c r="D100" s="1">
        <v>0</v>
      </c>
      <c r="E100" s="1">
        <v>27000000</v>
      </c>
      <c r="F100" s="1">
        <v>1020000</v>
      </c>
      <c r="G100" s="1">
        <v>188000000</v>
      </c>
      <c r="H100" s="1">
        <v>4870000</v>
      </c>
      <c r="I100" s="1">
        <v>243000000</v>
      </c>
      <c r="J100" s="1">
        <v>10900000</v>
      </c>
      <c r="K100" s="1">
        <v>2760000000</v>
      </c>
      <c r="L100" s="1">
        <v>0</v>
      </c>
      <c r="M100" s="1">
        <v>0</v>
      </c>
      <c r="N100" s="1">
        <v>3720000000</v>
      </c>
    </row>
    <row r="101" spans="1:14" x14ac:dyDescent="0.2">
      <c r="A101" t="s">
        <v>381</v>
      </c>
      <c r="B101" s="1">
        <v>1400000000</v>
      </c>
      <c r="C101" s="1">
        <v>0</v>
      </c>
      <c r="D101" s="1">
        <v>0</v>
      </c>
      <c r="E101" s="1">
        <v>0</v>
      </c>
      <c r="F101" s="1">
        <v>5110000000</v>
      </c>
      <c r="G101" s="1">
        <v>145000000</v>
      </c>
      <c r="H101" s="1">
        <v>0</v>
      </c>
      <c r="I101" s="1">
        <v>570000</v>
      </c>
      <c r="J101" s="1">
        <v>0</v>
      </c>
      <c r="K101" s="1">
        <v>0</v>
      </c>
      <c r="L101" s="1">
        <v>0</v>
      </c>
      <c r="M101" s="1">
        <v>0</v>
      </c>
      <c r="N101" s="1">
        <v>6650000000</v>
      </c>
    </row>
    <row r="102" spans="1:14" x14ac:dyDescent="0.2">
      <c r="A102" t="s">
        <v>382</v>
      </c>
      <c r="B102" s="1">
        <v>1060000000</v>
      </c>
      <c r="C102" s="1">
        <v>0</v>
      </c>
      <c r="D102" s="1">
        <v>0</v>
      </c>
      <c r="E102" s="1">
        <v>0</v>
      </c>
      <c r="F102" s="1">
        <v>4390000000</v>
      </c>
      <c r="G102" s="1">
        <v>130000000</v>
      </c>
      <c r="H102" s="1">
        <v>0</v>
      </c>
      <c r="I102" s="1">
        <v>33300000</v>
      </c>
      <c r="J102" s="1">
        <v>16400</v>
      </c>
      <c r="K102" s="1">
        <v>220000</v>
      </c>
      <c r="L102" s="1">
        <v>0</v>
      </c>
      <c r="M102" s="1">
        <v>0</v>
      </c>
      <c r="N102" s="1">
        <v>5620000000</v>
      </c>
    </row>
    <row r="103" spans="1:14" x14ac:dyDescent="0.2">
      <c r="A103" t="s">
        <v>383</v>
      </c>
      <c r="B103" s="1">
        <v>1590000000</v>
      </c>
      <c r="C103" s="1">
        <v>0</v>
      </c>
      <c r="D103" s="1">
        <v>0</v>
      </c>
      <c r="E103" s="1">
        <v>0</v>
      </c>
      <c r="F103" s="1">
        <v>6400000000</v>
      </c>
      <c r="G103" s="1">
        <v>185000000</v>
      </c>
      <c r="H103" s="1">
        <v>0</v>
      </c>
      <c r="I103" s="1">
        <v>30200000</v>
      </c>
      <c r="J103" s="1">
        <v>0</v>
      </c>
      <c r="K103" s="1">
        <v>248000000</v>
      </c>
      <c r="L103" s="1">
        <v>0</v>
      </c>
      <c r="M103" s="1">
        <v>0</v>
      </c>
      <c r="N103" s="1">
        <v>8450000000</v>
      </c>
    </row>
    <row r="104" spans="1:14" x14ac:dyDescent="0.2">
      <c r="A104" t="s">
        <v>384</v>
      </c>
      <c r="B104" s="1">
        <v>114000000</v>
      </c>
      <c r="C104" s="1">
        <v>123000</v>
      </c>
      <c r="D104" s="1">
        <v>36900</v>
      </c>
      <c r="E104" s="1">
        <v>2810000</v>
      </c>
      <c r="F104" s="1">
        <v>4580000</v>
      </c>
      <c r="G104" s="1">
        <v>44200000</v>
      </c>
      <c r="H104" s="1">
        <v>0</v>
      </c>
      <c r="I104" s="1">
        <v>16400000</v>
      </c>
      <c r="J104" s="1">
        <v>13800000</v>
      </c>
      <c r="K104" s="1">
        <v>156000000</v>
      </c>
      <c r="L104" s="1">
        <v>0</v>
      </c>
      <c r="M104" s="1">
        <v>0</v>
      </c>
      <c r="N104" s="1">
        <v>352000000</v>
      </c>
    </row>
    <row r="105" spans="1:14" x14ac:dyDescent="0.2">
      <c r="A105" t="s">
        <v>385</v>
      </c>
      <c r="B105" s="1">
        <v>161000000</v>
      </c>
      <c r="C105" s="1">
        <v>0</v>
      </c>
      <c r="D105" s="1">
        <v>0</v>
      </c>
      <c r="E105" s="1">
        <v>4100000</v>
      </c>
      <c r="F105" s="1">
        <v>2410000</v>
      </c>
      <c r="G105" s="1">
        <v>143000000</v>
      </c>
      <c r="H105" s="1">
        <v>10900</v>
      </c>
      <c r="I105" s="1">
        <v>50400000</v>
      </c>
      <c r="J105" s="1">
        <v>16900000</v>
      </c>
      <c r="K105" s="1">
        <v>535000000</v>
      </c>
      <c r="L105" s="1">
        <v>0</v>
      </c>
      <c r="M105" s="1">
        <v>0</v>
      </c>
      <c r="N105" s="1">
        <v>914000000</v>
      </c>
    </row>
    <row r="106" spans="1:14" x14ac:dyDescent="0.2">
      <c r="A106" t="s">
        <v>386</v>
      </c>
      <c r="B106" s="1">
        <v>178000000</v>
      </c>
      <c r="C106" s="1">
        <v>0</v>
      </c>
      <c r="D106" s="1">
        <v>0</v>
      </c>
      <c r="E106" s="1">
        <v>281000</v>
      </c>
      <c r="F106" s="1">
        <v>1180000</v>
      </c>
      <c r="G106" s="1">
        <v>44400000</v>
      </c>
      <c r="H106" s="1">
        <v>5050</v>
      </c>
      <c r="I106" s="1">
        <v>13000000</v>
      </c>
      <c r="J106" s="1">
        <v>855000</v>
      </c>
      <c r="K106" s="1">
        <v>121000000</v>
      </c>
      <c r="L106" s="1">
        <v>0</v>
      </c>
      <c r="M106" s="1">
        <v>0</v>
      </c>
      <c r="N106" s="1">
        <v>358000000</v>
      </c>
    </row>
    <row r="107" spans="1:14" x14ac:dyDescent="0.2">
      <c r="A107" t="s">
        <v>14</v>
      </c>
      <c r="B107" s="1">
        <v>0</v>
      </c>
      <c r="C107" s="1">
        <v>118000000</v>
      </c>
      <c r="D107" s="1">
        <v>0</v>
      </c>
      <c r="E107" s="1">
        <v>79500000</v>
      </c>
      <c r="F107" s="1">
        <v>1280000000</v>
      </c>
      <c r="G107" s="1">
        <v>12000000</v>
      </c>
      <c r="H107" s="1">
        <v>657000</v>
      </c>
      <c r="I107" s="1">
        <v>0</v>
      </c>
      <c r="J107" s="1">
        <v>433000000</v>
      </c>
      <c r="K107" s="1">
        <v>2680000000</v>
      </c>
      <c r="L107" s="1">
        <v>0</v>
      </c>
      <c r="M107" s="1">
        <v>516000000</v>
      </c>
      <c r="N107" s="1">
        <v>5120000000</v>
      </c>
    </row>
    <row r="108" spans="1:14" x14ac:dyDescent="0.2">
      <c r="A108" t="s">
        <v>15</v>
      </c>
      <c r="B108" s="1">
        <v>0</v>
      </c>
      <c r="C108" s="1">
        <v>178000000</v>
      </c>
      <c r="D108" s="1">
        <v>0</v>
      </c>
      <c r="E108" s="1">
        <v>63000000</v>
      </c>
      <c r="F108" s="1">
        <v>1430000000</v>
      </c>
      <c r="G108" s="1">
        <v>16600000</v>
      </c>
      <c r="H108" s="1">
        <v>630000</v>
      </c>
      <c r="I108" s="1">
        <v>0</v>
      </c>
      <c r="J108" s="1">
        <v>400000000</v>
      </c>
      <c r="K108" s="1">
        <v>2750000000</v>
      </c>
      <c r="L108" s="1">
        <v>0</v>
      </c>
      <c r="M108" s="1">
        <v>832000000</v>
      </c>
      <c r="N108" s="1">
        <v>5660000000</v>
      </c>
    </row>
    <row r="109" spans="1:14" x14ac:dyDescent="0.2">
      <c r="A109" t="s">
        <v>16</v>
      </c>
      <c r="B109" s="1">
        <v>0</v>
      </c>
      <c r="C109" s="1">
        <v>95700000</v>
      </c>
      <c r="D109" s="1">
        <v>0</v>
      </c>
      <c r="E109" s="1">
        <v>73300000</v>
      </c>
      <c r="F109" s="1">
        <v>1360000000</v>
      </c>
      <c r="G109" s="1">
        <v>16000000</v>
      </c>
      <c r="H109" s="1">
        <v>17500000</v>
      </c>
      <c r="I109" s="1">
        <v>0</v>
      </c>
      <c r="J109" s="1">
        <v>338000000</v>
      </c>
      <c r="K109" s="1">
        <v>3190000000</v>
      </c>
      <c r="L109" s="1">
        <v>0</v>
      </c>
      <c r="M109" s="1">
        <v>504000000</v>
      </c>
      <c r="N109" s="1">
        <v>5590000000</v>
      </c>
    </row>
    <row r="110" spans="1:14" x14ac:dyDescent="0.2">
      <c r="A110" t="s">
        <v>41</v>
      </c>
      <c r="B110" s="1">
        <v>605000000</v>
      </c>
      <c r="C110" s="1">
        <v>0</v>
      </c>
      <c r="D110" s="1">
        <v>0</v>
      </c>
      <c r="E110" s="1">
        <v>11000000</v>
      </c>
      <c r="F110" s="1">
        <v>630000000</v>
      </c>
      <c r="G110" s="1">
        <v>15300000</v>
      </c>
      <c r="H110" s="1">
        <v>190000</v>
      </c>
      <c r="I110" s="1">
        <v>0</v>
      </c>
      <c r="J110" s="1">
        <v>176000000</v>
      </c>
      <c r="K110" s="1">
        <v>0</v>
      </c>
      <c r="L110" s="1">
        <v>0</v>
      </c>
      <c r="M110" s="1">
        <v>1740000000</v>
      </c>
      <c r="N110" s="1">
        <v>3180000000</v>
      </c>
    </row>
    <row r="111" spans="1:14" x14ac:dyDescent="0.2">
      <c r="A111" t="s">
        <v>42</v>
      </c>
      <c r="B111" s="1">
        <v>815000000</v>
      </c>
      <c r="C111" s="1">
        <v>0</v>
      </c>
      <c r="D111" s="1">
        <v>0</v>
      </c>
      <c r="E111" s="1">
        <v>27500000</v>
      </c>
      <c r="F111" s="1">
        <v>68000000</v>
      </c>
      <c r="G111" s="1">
        <v>18600000</v>
      </c>
      <c r="H111" s="1">
        <v>350000</v>
      </c>
      <c r="I111" s="1">
        <v>0</v>
      </c>
      <c r="J111" s="1">
        <v>174000000</v>
      </c>
      <c r="K111" s="1">
        <v>0</v>
      </c>
      <c r="L111" s="1">
        <v>0</v>
      </c>
      <c r="M111" s="1">
        <v>1220000000</v>
      </c>
      <c r="N111" s="1">
        <v>2320000000</v>
      </c>
    </row>
    <row r="112" spans="1:14" x14ac:dyDescent="0.2">
      <c r="A112" t="s">
        <v>46</v>
      </c>
      <c r="B112" s="1">
        <v>328000000</v>
      </c>
      <c r="C112" s="1">
        <v>0</v>
      </c>
      <c r="D112" s="1">
        <v>0</v>
      </c>
      <c r="E112" s="1">
        <v>0</v>
      </c>
      <c r="F112" s="1">
        <v>171000000</v>
      </c>
      <c r="G112" s="1">
        <v>43200000</v>
      </c>
      <c r="H112" s="1">
        <v>264000</v>
      </c>
      <c r="I112" s="1">
        <v>28500000</v>
      </c>
      <c r="J112" s="1">
        <v>101000000</v>
      </c>
      <c r="K112" s="1">
        <v>367000000</v>
      </c>
      <c r="L112" s="1">
        <v>0</v>
      </c>
      <c r="M112" s="1">
        <v>0</v>
      </c>
      <c r="N112" s="1">
        <v>1040000000</v>
      </c>
    </row>
    <row r="113" spans="1:14" x14ac:dyDescent="0.2">
      <c r="A113" t="s">
        <v>47</v>
      </c>
      <c r="B113" s="1">
        <v>533000000</v>
      </c>
      <c r="C113" s="1">
        <v>0</v>
      </c>
      <c r="D113" s="1">
        <v>0</v>
      </c>
      <c r="E113" s="1">
        <v>0</v>
      </c>
      <c r="F113" s="1">
        <v>338000000</v>
      </c>
      <c r="G113" s="1">
        <v>32400000</v>
      </c>
      <c r="H113" s="1">
        <v>178000</v>
      </c>
      <c r="I113" s="1">
        <v>340000</v>
      </c>
      <c r="J113" s="1">
        <v>123000000</v>
      </c>
      <c r="K113" s="1">
        <v>400000000</v>
      </c>
      <c r="L113" s="1">
        <v>0</v>
      </c>
      <c r="M113" s="1">
        <v>0</v>
      </c>
      <c r="N113" s="1">
        <v>1430000000</v>
      </c>
    </row>
    <row r="114" spans="1:14" x14ac:dyDescent="0.2">
      <c r="A114" t="s">
        <v>48</v>
      </c>
      <c r="B114" s="1">
        <v>750000000</v>
      </c>
      <c r="C114" s="1">
        <v>0</v>
      </c>
      <c r="D114" s="1">
        <v>0</v>
      </c>
      <c r="E114" s="1">
        <v>0</v>
      </c>
      <c r="F114" s="1">
        <v>164000000</v>
      </c>
      <c r="G114" s="1">
        <v>45800000</v>
      </c>
      <c r="H114" s="1">
        <v>400000</v>
      </c>
      <c r="I114" s="1">
        <v>103000000</v>
      </c>
      <c r="J114" s="1">
        <v>136000000</v>
      </c>
      <c r="K114" s="1">
        <v>477000000</v>
      </c>
      <c r="L114" s="1">
        <v>144000</v>
      </c>
      <c r="M114" s="1">
        <v>0</v>
      </c>
      <c r="N114" s="1">
        <v>1680000000</v>
      </c>
    </row>
    <row r="115" spans="1:14" x14ac:dyDescent="0.2">
      <c r="A115" t="s">
        <v>49</v>
      </c>
      <c r="B115" s="1">
        <v>313000000</v>
      </c>
      <c r="C115" s="1">
        <v>0</v>
      </c>
      <c r="D115" s="1">
        <v>0</v>
      </c>
      <c r="E115" s="1">
        <v>4280000</v>
      </c>
      <c r="F115" s="1">
        <v>280000000</v>
      </c>
      <c r="G115" s="1">
        <v>19800000</v>
      </c>
      <c r="H115" s="1">
        <v>268000</v>
      </c>
      <c r="I115" s="1">
        <v>0</v>
      </c>
      <c r="J115" s="1">
        <v>143000000</v>
      </c>
      <c r="K115" s="1">
        <v>583000000</v>
      </c>
      <c r="L115" s="1">
        <v>0</v>
      </c>
      <c r="M115" s="1">
        <v>262000000</v>
      </c>
      <c r="N115" s="1">
        <v>1600000000</v>
      </c>
    </row>
    <row r="116" spans="1:14" x14ac:dyDescent="0.2">
      <c r="A116" t="s">
        <v>50</v>
      </c>
      <c r="B116" s="1">
        <v>263000000</v>
      </c>
      <c r="C116" s="1">
        <v>0</v>
      </c>
      <c r="D116" s="1">
        <v>0</v>
      </c>
      <c r="E116" s="1">
        <v>8050000</v>
      </c>
      <c r="F116" s="1">
        <v>135000000</v>
      </c>
      <c r="G116" s="1">
        <v>21600000</v>
      </c>
      <c r="H116" s="1">
        <v>337000</v>
      </c>
      <c r="I116" s="1">
        <v>0</v>
      </c>
      <c r="J116" s="1">
        <v>193000000</v>
      </c>
      <c r="K116" s="1">
        <v>513000000</v>
      </c>
      <c r="L116" s="1">
        <v>0</v>
      </c>
      <c r="M116" s="1">
        <v>370000000</v>
      </c>
      <c r="N116" s="1">
        <v>1500000000</v>
      </c>
    </row>
    <row r="117" spans="1:14" x14ac:dyDescent="0.2">
      <c r="A117" t="s">
        <v>51</v>
      </c>
      <c r="B117" s="1">
        <v>237000000</v>
      </c>
      <c r="C117" s="1">
        <v>0</v>
      </c>
      <c r="D117" s="1">
        <v>0</v>
      </c>
      <c r="E117" s="1">
        <v>5430000</v>
      </c>
      <c r="F117" s="1">
        <v>217000000</v>
      </c>
      <c r="G117" s="1">
        <v>18700000</v>
      </c>
      <c r="H117" s="1">
        <v>373000</v>
      </c>
      <c r="I117" s="1">
        <v>0</v>
      </c>
      <c r="J117" s="1">
        <v>155000000</v>
      </c>
      <c r="K117" s="1">
        <v>610000000</v>
      </c>
      <c r="L117" s="1">
        <v>0</v>
      </c>
      <c r="M117" s="1">
        <v>262000000</v>
      </c>
      <c r="N117" s="1">
        <v>1500000000</v>
      </c>
    </row>
    <row r="118" spans="1:14" x14ac:dyDescent="0.2">
      <c r="A118" t="s">
        <v>52</v>
      </c>
      <c r="B118" s="1">
        <v>0</v>
      </c>
      <c r="C118" s="1">
        <v>150000000</v>
      </c>
      <c r="D118" s="1">
        <v>0</v>
      </c>
      <c r="E118" s="1">
        <v>59300000</v>
      </c>
      <c r="F118" s="1">
        <v>460000000</v>
      </c>
      <c r="G118" s="1">
        <v>35000000</v>
      </c>
      <c r="H118" s="1">
        <v>295000</v>
      </c>
      <c r="I118" s="1">
        <v>2020000</v>
      </c>
      <c r="J118" s="1">
        <v>173000000</v>
      </c>
      <c r="K118" s="1">
        <v>1300000000</v>
      </c>
      <c r="L118" s="1">
        <v>0</v>
      </c>
      <c r="M118" s="1">
        <v>734000000</v>
      </c>
      <c r="N118" s="1">
        <v>2910000000</v>
      </c>
    </row>
    <row r="119" spans="1:14" x14ac:dyDescent="0.2">
      <c r="A119" t="s">
        <v>53</v>
      </c>
      <c r="B119" s="1">
        <v>0</v>
      </c>
      <c r="C119" s="1">
        <v>36300000</v>
      </c>
      <c r="D119" s="1">
        <v>0</v>
      </c>
      <c r="E119" s="1">
        <v>21300000</v>
      </c>
      <c r="F119" s="1">
        <v>309000000</v>
      </c>
      <c r="G119" s="1">
        <v>14400000</v>
      </c>
      <c r="H119" s="1">
        <v>231000</v>
      </c>
      <c r="I119" s="1">
        <v>0</v>
      </c>
      <c r="J119" s="1">
        <v>55000000</v>
      </c>
      <c r="K119" s="1">
        <v>1310000000</v>
      </c>
      <c r="L119" s="1">
        <v>0</v>
      </c>
      <c r="M119" s="1">
        <v>206000000</v>
      </c>
      <c r="N119" s="1">
        <v>1950000000</v>
      </c>
    </row>
    <row r="120" spans="1:14" x14ac:dyDescent="0.2">
      <c r="A120" t="s">
        <v>54</v>
      </c>
      <c r="B120" s="1">
        <v>0</v>
      </c>
      <c r="C120" s="1">
        <v>55300000</v>
      </c>
      <c r="D120" s="1">
        <v>0</v>
      </c>
      <c r="E120" s="1">
        <v>45300000</v>
      </c>
      <c r="F120" s="1">
        <v>367000000</v>
      </c>
      <c r="G120" s="1">
        <v>22800000</v>
      </c>
      <c r="H120" s="1">
        <v>257000</v>
      </c>
      <c r="I120" s="1">
        <v>0</v>
      </c>
      <c r="J120" s="1">
        <v>102000000</v>
      </c>
      <c r="K120" s="1">
        <v>1530000000</v>
      </c>
      <c r="L120" s="1">
        <v>0</v>
      </c>
      <c r="M120" s="1">
        <v>338000000</v>
      </c>
      <c r="N120" s="1">
        <v>2460000000</v>
      </c>
    </row>
    <row r="121" spans="1:14" x14ac:dyDescent="0.2">
      <c r="A121" t="s">
        <v>78</v>
      </c>
      <c r="B121" s="1">
        <v>230000000</v>
      </c>
      <c r="C121" s="1">
        <v>0</v>
      </c>
      <c r="D121" s="1">
        <v>0</v>
      </c>
      <c r="E121" s="1">
        <v>5730000</v>
      </c>
      <c r="F121" s="1">
        <v>400000000</v>
      </c>
      <c r="G121" s="1">
        <v>8820000</v>
      </c>
      <c r="H121" s="1">
        <v>256000</v>
      </c>
      <c r="I121" s="1">
        <v>1180000</v>
      </c>
      <c r="J121" s="1">
        <v>68000000</v>
      </c>
      <c r="K121" s="1">
        <v>0</v>
      </c>
      <c r="L121" s="1">
        <v>0</v>
      </c>
      <c r="M121" s="1">
        <v>1520000000</v>
      </c>
      <c r="N121" s="1">
        <v>2240000000</v>
      </c>
    </row>
    <row r="122" spans="1:14" x14ac:dyDescent="0.2">
      <c r="A122" t="s">
        <v>79</v>
      </c>
      <c r="B122" s="1">
        <v>488000000</v>
      </c>
      <c r="C122" s="1">
        <v>0</v>
      </c>
      <c r="D122" s="1">
        <v>0</v>
      </c>
      <c r="E122" s="1">
        <v>4430000</v>
      </c>
      <c r="F122" s="1">
        <v>342000000</v>
      </c>
      <c r="G122" s="1">
        <v>12000000</v>
      </c>
      <c r="H122" s="1">
        <v>203000</v>
      </c>
      <c r="I122" s="1">
        <v>27700000</v>
      </c>
      <c r="J122" s="1">
        <v>75800000</v>
      </c>
      <c r="K122" s="1">
        <v>0</v>
      </c>
      <c r="L122" s="1">
        <v>0</v>
      </c>
      <c r="M122" s="1">
        <v>1460000000</v>
      </c>
      <c r="N122" s="1">
        <v>2410000000</v>
      </c>
    </row>
    <row r="123" spans="1:14" x14ac:dyDescent="0.2">
      <c r="A123" t="s">
        <v>83</v>
      </c>
      <c r="B123" s="1">
        <v>338000000</v>
      </c>
      <c r="C123" s="1">
        <v>0</v>
      </c>
      <c r="D123" s="1">
        <v>0</v>
      </c>
      <c r="E123" s="1">
        <v>19600</v>
      </c>
      <c r="F123" s="1">
        <v>151000000</v>
      </c>
      <c r="G123" s="1">
        <v>21400000</v>
      </c>
      <c r="H123" s="1">
        <v>1770000</v>
      </c>
      <c r="I123" s="1">
        <v>59000000</v>
      </c>
      <c r="J123" s="1">
        <v>55500000</v>
      </c>
      <c r="K123" s="1">
        <v>357000000</v>
      </c>
      <c r="L123" s="1">
        <v>0</v>
      </c>
      <c r="M123" s="1">
        <v>0</v>
      </c>
      <c r="N123" s="1">
        <v>982000000</v>
      </c>
    </row>
    <row r="124" spans="1:14" x14ac:dyDescent="0.2">
      <c r="A124" t="s">
        <v>84</v>
      </c>
      <c r="B124" s="1">
        <v>323000000</v>
      </c>
      <c r="C124" s="1">
        <v>0</v>
      </c>
      <c r="D124" s="1">
        <v>0</v>
      </c>
      <c r="E124" s="1">
        <v>0</v>
      </c>
      <c r="F124" s="1">
        <v>377000000</v>
      </c>
      <c r="G124" s="1">
        <v>16300000</v>
      </c>
      <c r="H124" s="1">
        <v>537000</v>
      </c>
      <c r="I124" s="1">
        <v>9620000</v>
      </c>
      <c r="J124" s="1">
        <v>44800000</v>
      </c>
      <c r="K124" s="1">
        <v>343000000</v>
      </c>
      <c r="L124" s="1">
        <v>0</v>
      </c>
      <c r="M124" s="1">
        <v>0</v>
      </c>
      <c r="N124" s="1">
        <v>1110000000</v>
      </c>
    </row>
    <row r="125" spans="1:14" x14ac:dyDescent="0.2">
      <c r="A125" t="s">
        <v>85</v>
      </c>
      <c r="B125" s="1">
        <v>45800000</v>
      </c>
      <c r="C125" s="1">
        <v>0</v>
      </c>
      <c r="D125" s="1">
        <v>0</v>
      </c>
      <c r="E125" s="1">
        <v>12300</v>
      </c>
      <c r="F125" s="1">
        <v>65000000</v>
      </c>
      <c r="G125" s="1">
        <v>5360000</v>
      </c>
      <c r="H125" s="1">
        <v>158000</v>
      </c>
      <c r="I125" s="1">
        <v>8720000</v>
      </c>
      <c r="J125" s="1">
        <v>10400000</v>
      </c>
      <c r="K125" s="1">
        <v>92700000</v>
      </c>
      <c r="L125" s="1">
        <v>0</v>
      </c>
      <c r="M125" s="1">
        <v>0</v>
      </c>
      <c r="N125" s="1">
        <v>228000000</v>
      </c>
    </row>
    <row r="126" spans="1:14" x14ac:dyDescent="0.2">
      <c r="A126" t="s">
        <v>86</v>
      </c>
      <c r="B126" s="1">
        <v>210000000</v>
      </c>
      <c r="C126" s="1">
        <v>0</v>
      </c>
      <c r="D126" s="1">
        <v>0</v>
      </c>
      <c r="E126" s="1">
        <v>2780000</v>
      </c>
      <c r="F126" s="1">
        <v>271000000</v>
      </c>
      <c r="G126" s="1">
        <v>7640000</v>
      </c>
      <c r="H126" s="1">
        <v>91700</v>
      </c>
      <c r="I126" s="1">
        <v>0</v>
      </c>
      <c r="J126" s="1">
        <v>63300000</v>
      </c>
      <c r="K126" s="1">
        <v>242000000</v>
      </c>
      <c r="L126" s="1">
        <v>0</v>
      </c>
      <c r="M126" s="1">
        <v>806000000</v>
      </c>
      <c r="N126" s="1">
        <v>1600000000</v>
      </c>
    </row>
    <row r="127" spans="1:14" x14ac:dyDescent="0.2">
      <c r="A127" t="s">
        <v>87</v>
      </c>
      <c r="B127" s="1">
        <v>488000000</v>
      </c>
      <c r="C127" s="1">
        <v>0</v>
      </c>
      <c r="D127" s="1">
        <v>0</v>
      </c>
      <c r="E127" s="1">
        <v>5050000</v>
      </c>
      <c r="F127" s="1">
        <v>197000000</v>
      </c>
      <c r="G127" s="1">
        <v>16200000</v>
      </c>
      <c r="H127" s="1">
        <v>106000</v>
      </c>
      <c r="I127" s="1">
        <v>0</v>
      </c>
      <c r="J127" s="1">
        <v>135000000</v>
      </c>
      <c r="K127" s="1">
        <v>457000000</v>
      </c>
      <c r="L127" s="1">
        <v>0</v>
      </c>
      <c r="M127" s="1">
        <v>2020000000</v>
      </c>
      <c r="N127" s="1">
        <v>3320000000</v>
      </c>
    </row>
    <row r="128" spans="1:14" x14ac:dyDescent="0.2">
      <c r="A128" t="s">
        <v>88</v>
      </c>
      <c r="B128" s="1">
        <v>420000000</v>
      </c>
      <c r="C128" s="1">
        <v>0</v>
      </c>
      <c r="D128" s="1">
        <v>0</v>
      </c>
      <c r="E128" s="1">
        <v>7350000</v>
      </c>
      <c r="F128" s="1">
        <v>64000000</v>
      </c>
      <c r="G128" s="1">
        <v>13900000</v>
      </c>
      <c r="H128" s="1">
        <v>85300</v>
      </c>
      <c r="I128" s="1">
        <v>0</v>
      </c>
      <c r="J128" s="1">
        <v>112000000</v>
      </c>
      <c r="K128" s="1">
        <v>360000000</v>
      </c>
      <c r="L128" s="1">
        <v>0</v>
      </c>
      <c r="M128" s="1">
        <v>1190000000</v>
      </c>
      <c r="N128" s="1">
        <v>2170000000</v>
      </c>
    </row>
    <row r="129" spans="1:14" x14ac:dyDescent="0.2">
      <c r="A129" t="s">
        <v>89</v>
      </c>
      <c r="B129" s="1">
        <v>0</v>
      </c>
      <c r="C129" s="1">
        <v>196000000</v>
      </c>
      <c r="D129" s="1">
        <v>0</v>
      </c>
      <c r="E129" s="1">
        <v>27100000</v>
      </c>
      <c r="F129" s="1">
        <v>832000000</v>
      </c>
      <c r="G129" s="1">
        <v>14800000</v>
      </c>
      <c r="H129" s="1">
        <v>905000</v>
      </c>
      <c r="I129" s="1">
        <v>0</v>
      </c>
      <c r="J129" s="1">
        <v>654000000</v>
      </c>
      <c r="K129" s="1">
        <v>1810000000</v>
      </c>
      <c r="L129" s="1">
        <v>0</v>
      </c>
      <c r="M129" s="1">
        <v>640000000</v>
      </c>
      <c r="N129" s="1">
        <v>4170000000</v>
      </c>
    </row>
    <row r="130" spans="1:14" x14ac:dyDescent="0.2">
      <c r="A130" t="s">
        <v>90</v>
      </c>
      <c r="B130" s="1">
        <v>0</v>
      </c>
      <c r="C130" s="1">
        <v>148000000</v>
      </c>
      <c r="D130" s="1">
        <v>0</v>
      </c>
      <c r="E130" s="1">
        <v>19400000</v>
      </c>
      <c r="F130" s="1">
        <v>852000000</v>
      </c>
      <c r="G130" s="1">
        <v>12900000</v>
      </c>
      <c r="H130" s="1">
        <v>593000</v>
      </c>
      <c r="I130" s="1">
        <v>0</v>
      </c>
      <c r="J130" s="1">
        <v>475000000</v>
      </c>
      <c r="K130" s="1">
        <v>1990000000</v>
      </c>
      <c r="L130" s="1">
        <v>0</v>
      </c>
      <c r="M130" s="1">
        <v>328000000</v>
      </c>
      <c r="N130" s="1">
        <v>3820000000</v>
      </c>
    </row>
    <row r="131" spans="1:14" x14ac:dyDescent="0.2">
      <c r="A131" t="s">
        <v>91</v>
      </c>
      <c r="B131" s="1">
        <v>0</v>
      </c>
      <c r="C131" s="1">
        <v>122000000</v>
      </c>
      <c r="D131" s="1">
        <v>0</v>
      </c>
      <c r="E131" s="1">
        <v>16900000</v>
      </c>
      <c r="F131" s="1">
        <v>654000000</v>
      </c>
      <c r="G131" s="1">
        <v>12500000</v>
      </c>
      <c r="H131" s="1">
        <v>264000</v>
      </c>
      <c r="I131" s="1">
        <v>0</v>
      </c>
      <c r="J131" s="1">
        <v>276000000</v>
      </c>
      <c r="K131" s="1">
        <v>1630000000</v>
      </c>
      <c r="L131" s="1">
        <v>0</v>
      </c>
      <c r="M131" s="1">
        <v>216000000</v>
      </c>
      <c r="N131" s="1">
        <v>2930000000</v>
      </c>
    </row>
    <row r="132" spans="1:14" x14ac:dyDescent="0.2">
      <c r="A132" t="s">
        <v>116</v>
      </c>
      <c r="B132" s="1">
        <v>162000000</v>
      </c>
      <c r="C132" s="1">
        <v>0</v>
      </c>
      <c r="D132" s="1">
        <v>0</v>
      </c>
      <c r="E132" s="1">
        <v>5860000</v>
      </c>
      <c r="F132" s="1">
        <v>533000000</v>
      </c>
      <c r="G132" s="1">
        <v>13000000</v>
      </c>
      <c r="H132" s="1">
        <v>1040000</v>
      </c>
      <c r="I132" s="1">
        <v>18900000</v>
      </c>
      <c r="J132" s="1">
        <v>81900000</v>
      </c>
      <c r="K132" s="1">
        <v>0</v>
      </c>
      <c r="L132" s="1">
        <v>0</v>
      </c>
      <c r="M132" s="1">
        <v>559000000</v>
      </c>
      <c r="N132" s="1">
        <v>1370000000</v>
      </c>
    </row>
    <row r="133" spans="1:14" x14ac:dyDescent="0.2">
      <c r="A133" t="s">
        <v>117</v>
      </c>
      <c r="B133" s="1">
        <v>173000000</v>
      </c>
      <c r="C133" s="1">
        <v>0</v>
      </c>
      <c r="D133" s="1">
        <v>0</v>
      </c>
      <c r="E133" s="1">
        <v>2680000</v>
      </c>
      <c r="F133" s="1">
        <v>396000000</v>
      </c>
      <c r="G133" s="1">
        <v>12100000</v>
      </c>
      <c r="H133" s="1">
        <v>1180000</v>
      </c>
      <c r="I133" s="1">
        <v>0</v>
      </c>
      <c r="J133" s="1">
        <v>94400000</v>
      </c>
      <c r="K133" s="1">
        <v>0</v>
      </c>
      <c r="L133" s="1">
        <v>0</v>
      </c>
      <c r="M133" s="1">
        <v>577000000</v>
      </c>
      <c r="N133" s="1">
        <v>1260000000</v>
      </c>
    </row>
    <row r="134" spans="1:14" x14ac:dyDescent="0.2">
      <c r="A134" t="s">
        <v>118</v>
      </c>
      <c r="B134" s="1">
        <v>326000000</v>
      </c>
      <c r="C134" s="1">
        <v>0</v>
      </c>
      <c r="D134" s="1">
        <v>0</v>
      </c>
      <c r="E134" s="1">
        <v>8110000</v>
      </c>
      <c r="F134" s="1">
        <v>165000000</v>
      </c>
      <c r="G134" s="1">
        <v>14200000</v>
      </c>
      <c r="H134" s="1">
        <v>1950000</v>
      </c>
      <c r="I134" s="1">
        <v>0</v>
      </c>
      <c r="J134" s="1">
        <v>115000000</v>
      </c>
      <c r="K134" s="1">
        <v>0</v>
      </c>
      <c r="L134" s="1">
        <v>0</v>
      </c>
      <c r="M134" s="1">
        <v>660000000</v>
      </c>
      <c r="N134" s="1">
        <v>1290000000</v>
      </c>
    </row>
    <row r="135" spans="1:14" x14ac:dyDescent="0.2">
      <c r="A135" t="s">
        <v>122</v>
      </c>
      <c r="B135" s="1">
        <v>112000000</v>
      </c>
      <c r="C135" s="1">
        <v>0</v>
      </c>
      <c r="D135" s="1">
        <v>0</v>
      </c>
      <c r="E135" s="1">
        <v>0</v>
      </c>
      <c r="F135" s="1">
        <v>185000000</v>
      </c>
      <c r="G135" s="1">
        <v>11900000</v>
      </c>
      <c r="H135" s="1">
        <v>391000</v>
      </c>
      <c r="I135" s="1">
        <v>0</v>
      </c>
      <c r="J135" s="1">
        <v>34900000</v>
      </c>
      <c r="K135" s="1">
        <v>186000000</v>
      </c>
      <c r="L135" s="1">
        <v>0</v>
      </c>
      <c r="M135" s="1">
        <v>0</v>
      </c>
      <c r="N135" s="1">
        <v>530000000</v>
      </c>
    </row>
    <row r="136" spans="1:14" x14ac:dyDescent="0.2">
      <c r="A136" t="s">
        <v>123</v>
      </c>
      <c r="B136" s="1">
        <v>75500000</v>
      </c>
      <c r="C136" s="1">
        <v>0</v>
      </c>
      <c r="D136" s="1">
        <v>0</v>
      </c>
      <c r="E136" s="1">
        <v>0</v>
      </c>
      <c r="F136" s="1">
        <v>130000000</v>
      </c>
      <c r="G136" s="1">
        <v>8850000</v>
      </c>
      <c r="H136" s="1">
        <v>267000</v>
      </c>
      <c r="I136" s="1">
        <v>0</v>
      </c>
      <c r="J136" s="1">
        <v>25800000</v>
      </c>
      <c r="K136" s="1">
        <v>133000000</v>
      </c>
      <c r="L136" s="1">
        <v>0</v>
      </c>
      <c r="M136" s="1">
        <v>0</v>
      </c>
      <c r="N136" s="1">
        <v>373000000</v>
      </c>
    </row>
    <row r="137" spans="1:14" x14ac:dyDescent="0.2">
      <c r="A137" t="s">
        <v>124</v>
      </c>
      <c r="B137" s="1">
        <v>115000000</v>
      </c>
      <c r="C137" s="1">
        <v>0</v>
      </c>
      <c r="D137" s="1">
        <v>0</v>
      </c>
      <c r="E137" s="1">
        <v>0</v>
      </c>
      <c r="F137" s="1">
        <v>196000000</v>
      </c>
      <c r="G137" s="1">
        <v>11400000</v>
      </c>
      <c r="H137" s="1">
        <v>273000</v>
      </c>
      <c r="I137" s="1">
        <v>0</v>
      </c>
      <c r="J137" s="1">
        <v>41500000</v>
      </c>
      <c r="K137" s="1">
        <v>162000000</v>
      </c>
      <c r="L137" s="1">
        <v>0</v>
      </c>
      <c r="M137" s="1">
        <v>0</v>
      </c>
      <c r="N137" s="1">
        <v>526000000</v>
      </c>
    </row>
    <row r="138" spans="1:14" x14ac:dyDescent="0.2">
      <c r="A138" t="s">
        <v>125</v>
      </c>
      <c r="B138" s="1">
        <v>55300000</v>
      </c>
      <c r="C138" s="1">
        <v>0</v>
      </c>
      <c r="D138" s="1">
        <v>0</v>
      </c>
      <c r="E138" s="1">
        <v>294000</v>
      </c>
      <c r="F138" s="1">
        <v>148000000</v>
      </c>
      <c r="G138" s="1">
        <v>6300000</v>
      </c>
      <c r="H138" s="1">
        <v>293000</v>
      </c>
      <c r="I138" s="1">
        <v>0</v>
      </c>
      <c r="J138" s="1">
        <v>23900000</v>
      </c>
      <c r="K138" s="1">
        <v>115000000</v>
      </c>
      <c r="L138" s="1">
        <v>0</v>
      </c>
      <c r="M138" s="1">
        <v>131000000</v>
      </c>
      <c r="N138" s="1">
        <v>480000000</v>
      </c>
    </row>
    <row r="139" spans="1:14" x14ac:dyDescent="0.2">
      <c r="A139" t="s">
        <v>126</v>
      </c>
      <c r="B139" s="1">
        <v>78900000</v>
      </c>
      <c r="C139" s="1">
        <v>0</v>
      </c>
      <c r="D139" s="1">
        <v>0</v>
      </c>
      <c r="E139" s="1">
        <v>731000</v>
      </c>
      <c r="F139" s="1">
        <v>211000000</v>
      </c>
      <c r="G139" s="1">
        <v>8780000</v>
      </c>
      <c r="H139" s="1">
        <v>443000</v>
      </c>
      <c r="I139" s="1">
        <v>0</v>
      </c>
      <c r="J139" s="1">
        <v>44900000</v>
      </c>
      <c r="K139" s="1">
        <v>152000000</v>
      </c>
      <c r="L139" s="1">
        <v>0</v>
      </c>
      <c r="M139" s="1">
        <v>273000000</v>
      </c>
      <c r="N139" s="1">
        <v>770000000</v>
      </c>
    </row>
    <row r="140" spans="1:14" x14ac:dyDescent="0.2">
      <c r="A140" t="s">
        <v>127</v>
      </c>
      <c r="B140" s="1">
        <v>15900000</v>
      </c>
      <c r="C140" s="1">
        <v>0</v>
      </c>
      <c r="D140" s="1">
        <v>0</v>
      </c>
      <c r="E140" s="1">
        <v>4220000</v>
      </c>
      <c r="F140" s="1">
        <v>125000000</v>
      </c>
      <c r="G140" s="1">
        <v>5440000</v>
      </c>
      <c r="H140" s="1">
        <v>238000</v>
      </c>
      <c r="I140" s="1">
        <v>0</v>
      </c>
      <c r="J140" s="1">
        <v>19600000</v>
      </c>
      <c r="K140" s="1">
        <v>79100000</v>
      </c>
      <c r="L140" s="1">
        <v>0</v>
      </c>
      <c r="M140" s="1">
        <v>93700000</v>
      </c>
      <c r="N140" s="1">
        <v>343000000</v>
      </c>
    </row>
    <row r="141" spans="1:14" x14ac:dyDescent="0.2">
      <c r="A141" t="s">
        <v>128</v>
      </c>
      <c r="B141" s="1">
        <v>0</v>
      </c>
      <c r="C141" s="1">
        <v>457000000</v>
      </c>
      <c r="D141" s="1">
        <v>0</v>
      </c>
      <c r="E141" s="1">
        <v>0</v>
      </c>
      <c r="F141" s="1">
        <v>595000000</v>
      </c>
      <c r="G141" s="1">
        <v>2400000</v>
      </c>
      <c r="H141" s="1">
        <v>5370000</v>
      </c>
      <c r="I141" s="1">
        <v>8500000</v>
      </c>
      <c r="J141" s="1">
        <v>122000000</v>
      </c>
      <c r="K141" s="1">
        <v>4400000000</v>
      </c>
      <c r="L141" s="1">
        <v>3220000</v>
      </c>
      <c r="M141" s="1">
        <v>460000000</v>
      </c>
      <c r="N141" s="1">
        <v>6050000000</v>
      </c>
    </row>
    <row r="142" spans="1:14" x14ac:dyDescent="0.2">
      <c r="A142" t="s">
        <v>129</v>
      </c>
      <c r="B142" s="1">
        <v>0</v>
      </c>
      <c r="C142" s="1">
        <v>72000000</v>
      </c>
      <c r="D142" s="1">
        <v>0</v>
      </c>
      <c r="E142" s="1">
        <v>0</v>
      </c>
      <c r="F142" s="1">
        <v>710000000</v>
      </c>
      <c r="G142" s="1">
        <v>1510000</v>
      </c>
      <c r="H142" s="1">
        <v>54300000</v>
      </c>
      <c r="I142" s="1">
        <v>0</v>
      </c>
      <c r="J142" s="1">
        <v>290000000</v>
      </c>
      <c r="K142" s="1">
        <v>7100000000</v>
      </c>
      <c r="L142" s="1">
        <v>485000</v>
      </c>
      <c r="M142" s="1">
        <v>1830000000</v>
      </c>
      <c r="N142" s="1">
        <v>10100000000</v>
      </c>
    </row>
    <row r="143" spans="1:14" x14ac:dyDescent="0.2">
      <c r="A143" t="s">
        <v>154</v>
      </c>
      <c r="B143" s="1">
        <v>548000000</v>
      </c>
      <c r="C143" s="1">
        <v>0</v>
      </c>
      <c r="D143" s="1">
        <v>0</v>
      </c>
      <c r="E143" s="1">
        <v>237000000</v>
      </c>
      <c r="F143" s="1">
        <v>1040000000</v>
      </c>
      <c r="G143" s="1">
        <v>37400000</v>
      </c>
      <c r="H143" s="1">
        <v>122000000</v>
      </c>
      <c r="I143" s="1">
        <v>161000000</v>
      </c>
      <c r="J143" s="1">
        <v>128000000</v>
      </c>
      <c r="K143" s="1">
        <v>0</v>
      </c>
      <c r="L143" s="1">
        <v>0</v>
      </c>
      <c r="M143" s="1">
        <v>1200000000</v>
      </c>
      <c r="N143" s="1">
        <v>3480000000</v>
      </c>
    </row>
    <row r="144" spans="1:14" x14ac:dyDescent="0.2">
      <c r="A144" t="s">
        <v>155</v>
      </c>
      <c r="B144" s="1">
        <v>52800000</v>
      </c>
      <c r="C144" s="1">
        <v>0</v>
      </c>
      <c r="D144" s="1">
        <v>0</v>
      </c>
      <c r="E144" s="1">
        <v>268000000</v>
      </c>
      <c r="F144" s="1">
        <v>1100000000</v>
      </c>
      <c r="G144" s="1">
        <v>39900000</v>
      </c>
      <c r="H144" s="1">
        <v>161000000</v>
      </c>
      <c r="I144" s="1">
        <v>223000000</v>
      </c>
      <c r="J144" s="1">
        <v>152000000</v>
      </c>
      <c r="K144" s="1">
        <v>0</v>
      </c>
      <c r="L144" s="1">
        <v>0</v>
      </c>
      <c r="M144" s="1">
        <v>1780000000</v>
      </c>
      <c r="N144" s="1">
        <v>3770000000</v>
      </c>
    </row>
    <row r="145" spans="1:14" x14ac:dyDescent="0.2">
      <c r="A145" t="s">
        <v>156</v>
      </c>
      <c r="B145" s="1">
        <v>14200000</v>
      </c>
      <c r="C145" s="1">
        <v>0</v>
      </c>
      <c r="D145" s="1">
        <v>0</v>
      </c>
      <c r="E145" s="1">
        <v>187000000</v>
      </c>
      <c r="F145" s="1">
        <v>639000000</v>
      </c>
      <c r="G145" s="1">
        <v>22600000</v>
      </c>
      <c r="H145" s="1">
        <v>103000000</v>
      </c>
      <c r="I145" s="1">
        <v>90500000</v>
      </c>
      <c r="J145" s="1">
        <v>48700000</v>
      </c>
      <c r="K145" s="1">
        <v>0</v>
      </c>
      <c r="L145" s="1">
        <v>0</v>
      </c>
      <c r="M145" s="1">
        <v>827000000</v>
      </c>
      <c r="N145" s="1">
        <v>1930000000</v>
      </c>
    </row>
    <row r="146" spans="1:14" x14ac:dyDescent="0.2">
      <c r="A146" t="s">
        <v>160</v>
      </c>
      <c r="B146" s="1">
        <v>29300000</v>
      </c>
      <c r="C146" s="1">
        <v>0</v>
      </c>
      <c r="D146" s="1">
        <v>0</v>
      </c>
      <c r="E146" s="1">
        <v>0</v>
      </c>
      <c r="F146" s="1">
        <v>7550000</v>
      </c>
      <c r="G146" s="1">
        <v>118000000</v>
      </c>
      <c r="H146" s="1">
        <v>44700000</v>
      </c>
      <c r="I146" s="1">
        <v>193000000</v>
      </c>
      <c r="J146" s="1">
        <v>19600000</v>
      </c>
      <c r="K146" s="1">
        <v>10200000000</v>
      </c>
      <c r="L146" s="1">
        <v>0</v>
      </c>
      <c r="M146" s="1">
        <v>0</v>
      </c>
      <c r="N146" s="1">
        <v>10600000000</v>
      </c>
    </row>
    <row r="147" spans="1:14" x14ac:dyDescent="0.2">
      <c r="A147" t="s">
        <v>161</v>
      </c>
      <c r="B147" s="1">
        <v>39300000</v>
      </c>
      <c r="C147" s="1">
        <v>0</v>
      </c>
      <c r="D147" s="1">
        <v>0</v>
      </c>
      <c r="E147" s="1">
        <v>0</v>
      </c>
      <c r="F147" s="1">
        <v>14400000</v>
      </c>
      <c r="G147" s="1">
        <v>99600000</v>
      </c>
      <c r="H147" s="1">
        <v>32000000</v>
      </c>
      <c r="I147" s="1">
        <v>250000000</v>
      </c>
      <c r="J147" s="1">
        <v>41300000</v>
      </c>
      <c r="K147" s="1">
        <v>8900000000</v>
      </c>
      <c r="L147" s="1">
        <v>0</v>
      </c>
      <c r="M147" s="1">
        <v>0</v>
      </c>
      <c r="N147" s="1">
        <v>9380000000</v>
      </c>
    </row>
    <row r="148" spans="1:14" x14ac:dyDescent="0.2">
      <c r="A148" t="s">
        <v>162</v>
      </c>
      <c r="B148" s="1">
        <v>41500000</v>
      </c>
      <c r="C148" s="1">
        <v>0</v>
      </c>
      <c r="D148" s="1">
        <v>0</v>
      </c>
      <c r="E148" s="1">
        <v>0</v>
      </c>
      <c r="F148" s="1">
        <v>143000000</v>
      </c>
      <c r="G148" s="1">
        <v>77800000</v>
      </c>
      <c r="H148" s="1">
        <v>51000000</v>
      </c>
      <c r="I148" s="1">
        <v>167000000</v>
      </c>
      <c r="J148" s="1">
        <v>16700000</v>
      </c>
      <c r="K148" s="1">
        <v>9130000000</v>
      </c>
      <c r="L148" s="1">
        <v>0</v>
      </c>
      <c r="M148" s="1">
        <v>0</v>
      </c>
      <c r="N148" s="1">
        <v>9630000000</v>
      </c>
    </row>
    <row r="149" spans="1:14" x14ac:dyDescent="0.2">
      <c r="A149" t="s">
        <v>163</v>
      </c>
      <c r="B149" s="1">
        <v>405000000</v>
      </c>
      <c r="C149" s="1">
        <v>0</v>
      </c>
      <c r="D149" s="1">
        <v>0</v>
      </c>
      <c r="E149" s="1">
        <v>0</v>
      </c>
      <c r="F149" s="1">
        <v>1070000000</v>
      </c>
      <c r="G149" s="1">
        <v>32800000</v>
      </c>
      <c r="H149" s="1">
        <v>36000000</v>
      </c>
      <c r="I149" s="1">
        <v>96800000</v>
      </c>
      <c r="J149" s="1">
        <v>48500000</v>
      </c>
      <c r="K149" s="1">
        <v>10000000000</v>
      </c>
      <c r="L149" s="1">
        <v>0</v>
      </c>
      <c r="M149" s="1">
        <v>1300000000</v>
      </c>
      <c r="N149" s="1">
        <v>13000000000</v>
      </c>
    </row>
    <row r="150" spans="1:14" x14ac:dyDescent="0.2">
      <c r="A150" t="s">
        <v>164</v>
      </c>
      <c r="B150" s="1">
        <v>540000000</v>
      </c>
      <c r="C150" s="1">
        <v>343000</v>
      </c>
      <c r="D150" s="1">
        <v>0</v>
      </c>
      <c r="E150" s="1">
        <v>0</v>
      </c>
      <c r="F150" s="1">
        <v>1490000000</v>
      </c>
      <c r="G150" s="1">
        <v>42000000</v>
      </c>
      <c r="H150" s="1">
        <v>47700000</v>
      </c>
      <c r="I150" s="1">
        <v>108000000</v>
      </c>
      <c r="J150" s="1">
        <v>60000000</v>
      </c>
      <c r="K150" s="1">
        <v>16600000000</v>
      </c>
      <c r="L150" s="1">
        <v>0</v>
      </c>
      <c r="M150" s="1">
        <v>1810000000</v>
      </c>
      <c r="N150" s="1">
        <v>20700000000</v>
      </c>
    </row>
    <row r="151" spans="1:14" x14ac:dyDescent="0.2">
      <c r="A151" t="s">
        <v>165</v>
      </c>
      <c r="B151" s="1">
        <v>1040000000</v>
      </c>
      <c r="C151" s="1">
        <v>0</v>
      </c>
      <c r="D151" s="1">
        <v>0</v>
      </c>
      <c r="E151" s="1">
        <v>0</v>
      </c>
      <c r="F151" s="1">
        <v>2130000000</v>
      </c>
      <c r="G151" s="1">
        <v>60000000</v>
      </c>
      <c r="H151" s="1">
        <v>147000000</v>
      </c>
      <c r="I151" s="1">
        <v>18000000</v>
      </c>
      <c r="J151" s="1">
        <v>117000000</v>
      </c>
      <c r="K151" s="1">
        <v>20800000000</v>
      </c>
      <c r="L151" s="1">
        <v>0</v>
      </c>
      <c r="M151" s="1">
        <v>3840000000</v>
      </c>
      <c r="N151" s="1">
        <v>28100000000</v>
      </c>
    </row>
    <row r="152" spans="1:14" x14ac:dyDescent="0.2">
      <c r="A152" t="s">
        <v>166</v>
      </c>
      <c r="B152" s="1">
        <v>84300000</v>
      </c>
      <c r="C152" s="1">
        <v>0</v>
      </c>
      <c r="D152" s="1">
        <v>0</v>
      </c>
      <c r="E152" s="1">
        <v>0</v>
      </c>
      <c r="F152" s="1">
        <v>975000000</v>
      </c>
      <c r="G152" s="1">
        <v>26200000</v>
      </c>
      <c r="H152" s="1">
        <v>13000000</v>
      </c>
      <c r="I152" s="1">
        <v>252000000</v>
      </c>
      <c r="J152" s="1">
        <v>31500000</v>
      </c>
      <c r="K152" s="1">
        <v>7830000000</v>
      </c>
      <c r="L152" s="1">
        <v>0</v>
      </c>
      <c r="M152" s="1">
        <v>1310000000</v>
      </c>
      <c r="N152" s="1">
        <v>10500000000</v>
      </c>
    </row>
    <row r="153" spans="1:14" x14ac:dyDescent="0.2">
      <c r="A153" t="s">
        <v>167</v>
      </c>
      <c r="B153" s="1">
        <v>31500000</v>
      </c>
      <c r="C153" s="1">
        <v>0</v>
      </c>
      <c r="D153" s="1">
        <v>0</v>
      </c>
      <c r="E153" s="1">
        <v>0</v>
      </c>
      <c r="F153" s="1">
        <v>1320000000</v>
      </c>
      <c r="G153" s="1">
        <v>29000000</v>
      </c>
      <c r="H153" s="1">
        <v>18500000</v>
      </c>
      <c r="I153" s="1">
        <v>235000000</v>
      </c>
      <c r="J153" s="1">
        <v>17900000</v>
      </c>
      <c r="K153" s="1">
        <v>11100000000</v>
      </c>
      <c r="L153" s="1">
        <v>0</v>
      </c>
      <c r="M153" s="1">
        <v>1360000000</v>
      </c>
      <c r="N153" s="1">
        <v>14100000000</v>
      </c>
    </row>
    <row r="154" spans="1:14" x14ac:dyDescent="0.2">
      <c r="A154" t="s">
        <v>168</v>
      </c>
      <c r="B154" s="1">
        <v>153000000</v>
      </c>
      <c r="C154" s="1">
        <v>0</v>
      </c>
      <c r="D154" s="1">
        <v>0</v>
      </c>
      <c r="E154" s="1">
        <v>0</v>
      </c>
      <c r="F154" s="1">
        <v>910000000</v>
      </c>
      <c r="G154" s="1">
        <v>13000000</v>
      </c>
      <c r="H154" s="1">
        <v>37700000</v>
      </c>
      <c r="I154" s="1">
        <v>41300000</v>
      </c>
      <c r="J154" s="1">
        <v>15100000</v>
      </c>
      <c r="K154" s="1">
        <v>5970000000</v>
      </c>
      <c r="L154" s="1">
        <v>0</v>
      </c>
      <c r="M154" s="1">
        <v>1630000000</v>
      </c>
      <c r="N154" s="1">
        <v>8770000000</v>
      </c>
    </row>
    <row r="155" spans="1:14" x14ac:dyDescent="0.2">
      <c r="A155" t="s">
        <v>169</v>
      </c>
      <c r="B155" s="1">
        <v>0</v>
      </c>
      <c r="C155" s="1">
        <v>130000000</v>
      </c>
      <c r="D155" s="1">
        <v>0</v>
      </c>
      <c r="E155" s="1">
        <v>0</v>
      </c>
      <c r="F155" s="1">
        <v>1430000000</v>
      </c>
      <c r="G155" s="1">
        <v>36200000</v>
      </c>
      <c r="H155" s="1">
        <v>547000</v>
      </c>
      <c r="I155" s="1">
        <v>99500000</v>
      </c>
      <c r="J155" s="1">
        <v>323000000</v>
      </c>
      <c r="K155" s="1">
        <v>11400000000</v>
      </c>
      <c r="L155" s="1">
        <v>11400000</v>
      </c>
      <c r="M155" s="1">
        <v>2220000000</v>
      </c>
      <c r="N155" s="1">
        <v>15700000000</v>
      </c>
    </row>
    <row r="156" spans="1:14" x14ac:dyDescent="0.2">
      <c r="A156" t="s">
        <v>170</v>
      </c>
      <c r="B156" s="1">
        <v>0</v>
      </c>
      <c r="C156" s="1">
        <v>60000000</v>
      </c>
      <c r="D156" s="1">
        <v>0</v>
      </c>
      <c r="E156" s="1">
        <v>0</v>
      </c>
      <c r="F156" s="1">
        <v>965000000</v>
      </c>
      <c r="G156" s="1">
        <v>31000000</v>
      </c>
      <c r="H156" s="1">
        <v>317000</v>
      </c>
      <c r="I156" s="1">
        <v>38800000</v>
      </c>
      <c r="J156" s="1">
        <v>183000000</v>
      </c>
      <c r="K156" s="1">
        <v>7170000000</v>
      </c>
      <c r="L156" s="1">
        <v>5450000</v>
      </c>
      <c r="M156" s="1">
        <v>1830000000</v>
      </c>
      <c r="N156" s="1">
        <v>10300000000</v>
      </c>
    </row>
    <row r="157" spans="1:14" x14ac:dyDescent="0.2">
      <c r="A157" t="s">
        <v>171</v>
      </c>
      <c r="B157" s="1">
        <v>0</v>
      </c>
      <c r="C157" s="1">
        <v>0</v>
      </c>
      <c r="D157" s="1">
        <v>0</v>
      </c>
      <c r="E157" s="1">
        <v>0</v>
      </c>
      <c r="F157" s="1">
        <v>930000000</v>
      </c>
      <c r="G157" s="1">
        <v>25400000</v>
      </c>
      <c r="H157" s="1">
        <v>2880000</v>
      </c>
      <c r="I157" s="1">
        <v>36800000</v>
      </c>
      <c r="J157" s="1">
        <v>182000000</v>
      </c>
      <c r="K157" s="1">
        <v>6670000000</v>
      </c>
      <c r="L157" s="1">
        <v>470000</v>
      </c>
      <c r="M157" s="1">
        <v>674000000</v>
      </c>
      <c r="N157" s="1">
        <v>8520000000</v>
      </c>
    </row>
    <row r="158" spans="1:14" x14ac:dyDescent="0.2">
      <c r="A158" t="s">
        <v>196</v>
      </c>
      <c r="B158" s="1">
        <v>153000000</v>
      </c>
      <c r="C158" s="1">
        <v>0</v>
      </c>
      <c r="D158" s="1">
        <v>0</v>
      </c>
      <c r="E158" s="1">
        <v>0</v>
      </c>
      <c r="F158" s="1">
        <v>35500000</v>
      </c>
      <c r="G158" s="1">
        <v>38400000</v>
      </c>
      <c r="H158" s="1">
        <v>53300000</v>
      </c>
      <c r="I158" s="1">
        <v>292000000</v>
      </c>
      <c r="J158" s="1">
        <v>745000</v>
      </c>
      <c r="K158" s="1">
        <v>6870000000</v>
      </c>
      <c r="L158" s="1">
        <v>0</v>
      </c>
      <c r="M158" s="1">
        <v>0</v>
      </c>
      <c r="N158" s="1">
        <v>7440000000</v>
      </c>
    </row>
    <row r="159" spans="1:14" x14ac:dyDescent="0.2">
      <c r="A159" t="s">
        <v>197</v>
      </c>
      <c r="B159" s="1">
        <v>71500000</v>
      </c>
      <c r="C159" s="1">
        <v>0</v>
      </c>
      <c r="D159" s="1">
        <v>0</v>
      </c>
      <c r="E159" s="1">
        <v>0</v>
      </c>
      <c r="F159" s="1">
        <v>71500000</v>
      </c>
      <c r="G159" s="1">
        <v>34200000</v>
      </c>
      <c r="H159" s="1">
        <v>62300000</v>
      </c>
      <c r="I159" s="1">
        <v>223000000</v>
      </c>
      <c r="J159" s="1">
        <v>37500000</v>
      </c>
      <c r="K159" s="1">
        <v>6430000000</v>
      </c>
      <c r="L159" s="1">
        <v>0</v>
      </c>
      <c r="M159" s="1">
        <v>0</v>
      </c>
      <c r="N159" s="1">
        <v>6930000000</v>
      </c>
    </row>
    <row r="160" spans="1:14" x14ac:dyDescent="0.2">
      <c r="A160" t="s">
        <v>198</v>
      </c>
      <c r="B160" s="1">
        <v>56000000</v>
      </c>
      <c r="C160" s="1">
        <v>0</v>
      </c>
      <c r="D160" s="1">
        <v>0</v>
      </c>
      <c r="E160" s="1">
        <v>0</v>
      </c>
      <c r="F160" s="1">
        <v>0</v>
      </c>
      <c r="G160" s="1">
        <v>22200000</v>
      </c>
      <c r="H160" s="1">
        <v>37300000</v>
      </c>
      <c r="I160" s="1">
        <v>109000000</v>
      </c>
      <c r="J160" s="1">
        <v>219000</v>
      </c>
      <c r="K160" s="1">
        <v>3630000000</v>
      </c>
      <c r="L160" s="1">
        <v>0</v>
      </c>
      <c r="M160" s="1">
        <v>0</v>
      </c>
      <c r="N160" s="1">
        <v>3860000000</v>
      </c>
    </row>
    <row r="161" spans="1:14" x14ac:dyDescent="0.2">
      <c r="A161" t="s">
        <v>199</v>
      </c>
      <c r="B161" s="1">
        <v>0</v>
      </c>
      <c r="C161" s="1">
        <v>16400000</v>
      </c>
      <c r="D161" s="1">
        <v>0</v>
      </c>
      <c r="E161" s="1">
        <v>0</v>
      </c>
      <c r="F161" s="1">
        <v>299000000</v>
      </c>
      <c r="G161" s="1">
        <v>6080000</v>
      </c>
      <c r="H161" s="1">
        <v>4470000</v>
      </c>
      <c r="I161" s="1">
        <v>122000000</v>
      </c>
      <c r="J161" s="1">
        <v>102000000</v>
      </c>
      <c r="K161" s="1">
        <v>1080000000</v>
      </c>
      <c r="L161" s="1">
        <v>3830000</v>
      </c>
      <c r="M161" s="1">
        <v>380000000</v>
      </c>
      <c r="N161" s="1">
        <v>2010000000</v>
      </c>
    </row>
    <row r="162" spans="1:14" x14ac:dyDescent="0.2">
      <c r="A162" t="s">
        <v>200</v>
      </c>
      <c r="B162" s="1">
        <v>0</v>
      </c>
      <c r="C162" s="1">
        <v>17700000</v>
      </c>
      <c r="D162" s="1">
        <v>0</v>
      </c>
      <c r="E162" s="1">
        <v>0</v>
      </c>
      <c r="F162" s="1">
        <v>432000000</v>
      </c>
      <c r="G162" s="1">
        <v>9900000</v>
      </c>
      <c r="H162" s="1">
        <v>9070000</v>
      </c>
      <c r="I162" s="1">
        <v>106000000</v>
      </c>
      <c r="J162" s="1">
        <v>159000000</v>
      </c>
      <c r="K162" s="1">
        <v>2370000000</v>
      </c>
      <c r="L162" s="1">
        <v>17500000</v>
      </c>
      <c r="M162" s="1">
        <v>404000000</v>
      </c>
      <c r="N162" s="1">
        <v>3530000000</v>
      </c>
    </row>
    <row r="163" spans="1:14" x14ac:dyDescent="0.2">
      <c r="A163" t="s">
        <v>201</v>
      </c>
      <c r="B163" s="1">
        <v>0</v>
      </c>
      <c r="C163" s="1">
        <v>46300000</v>
      </c>
      <c r="D163" s="1">
        <v>0</v>
      </c>
      <c r="E163" s="1">
        <v>0</v>
      </c>
      <c r="F163" s="1">
        <v>350000000</v>
      </c>
      <c r="G163" s="1">
        <v>8300000</v>
      </c>
      <c r="H163" s="1">
        <v>6870000</v>
      </c>
      <c r="I163" s="1">
        <v>6450000</v>
      </c>
      <c r="J163" s="1">
        <v>33500000</v>
      </c>
      <c r="K163" s="1">
        <v>1700000000</v>
      </c>
      <c r="L163" s="1">
        <v>11600000</v>
      </c>
      <c r="M163" s="1">
        <v>602000000</v>
      </c>
      <c r="N163" s="1">
        <v>2770000000</v>
      </c>
    </row>
    <row r="164" spans="1:14" x14ac:dyDescent="0.2">
      <c r="A164" t="s">
        <v>225</v>
      </c>
      <c r="B164" s="1">
        <v>116000000</v>
      </c>
      <c r="C164" s="1">
        <v>0</v>
      </c>
      <c r="D164" s="1">
        <v>0</v>
      </c>
      <c r="E164" s="1">
        <v>408000000</v>
      </c>
      <c r="F164" s="1">
        <v>915000000</v>
      </c>
      <c r="G164" s="1">
        <v>61200000</v>
      </c>
      <c r="H164" s="1">
        <v>95000000</v>
      </c>
      <c r="I164" s="1">
        <v>143000000</v>
      </c>
      <c r="J164" s="1">
        <v>79000000</v>
      </c>
      <c r="K164" s="1">
        <v>0</v>
      </c>
      <c r="L164" s="1">
        <v>0</v>
      </c>
      <c r="M164" s="1">
        <v>2200000000</v>
      </c>
      <c r="N164" s="1">
        <v>4020000000</v>
      </c>
    </row>
    <row r="165" spans="1:14" x14ac:dyDescent="0.2">
      <c r="A165" t="s">
        <v>226</v>
      </c>
      <c r="B165" s="1">
        <v>46300000</v>
      </c>
      <c r="C165" s="1">
        <v>0</v>
      </c>
      <c r="D165" s="1">
        <v>0</v>
      </c>
      <c r="E165" s="1">
        <v>226000000</v>
      </c>
      <c r="F165" s="1">
        <v>429000000</v>
      </c>
      <c r="G165" s="1">
        <v>33000000</v>
      </c>
      <c r="H165" s="1">
        <v>53300000</v>
      </c>
      <c r="I165" s="1">
        <v>81500000</v>
      </c>
      <c r="J165" s="1">
        <v>43000000</v>
      </c>
      <c r="K165" s="1">
        <v>0</v>
      </c>
      <c r="L165" s="1">
        <v>0</v>
      </c>
      <c r="M165" s="1">
        <v>930000000</v>
      </c>
      <c r="N165" s="1">
        <v>1840000000</v>
      </c>
    </row>
    <row r="166" spans="1:14" x14ac:dyDescent="0.2">
      <c r="A166" t="s">
        <v>227</v>
      </c>
      <c r="B166" s="1">
        <v>175000000</v>
      </c>
      <c r="C166" s="1">
        <v>0</v>
      </c>
      <c r="D166" s="1">
        <v>0</v>
      </c>
      <c r="E166" s="1">
        <v>303000000</v>
      </c>
      <c r="F166" s="1">
        <v>640000000</v>
      </c>
      <c r="G166" s="1">
        <v>43200000</v>
      </c>
      <c r="H166" s="1">
        <v>80700000</v>
      </c>
      <c r="I166" s="1">
        <v>124000000</v>
      </c>
      <c r="J166" s="1">
        <v>78500000</v>
      </c>
      <c r="K166" s="1">
        <v>0</v>
      </c>
      <c r="L166" s="1">
        <v>0</v>
      </c>
      <c r="M166" s="1">
        <v>1240000000</v>
      </c>
      <c r="N166" s="1">
        <v>2680000000</v>
      </c>
    </row>
    <row r="167" spans="1:14" x14ac:dyDescent="0.2">
      <c r="A167" t="s">
        <v>231</v>
      </c>
      <c r="B167" s="1">
        <v>94000000</v>
      </c>
      <c r="C167" s="1">
        <v>0</v>
      </c>
      <c r="D167" s="1">
        <v>0</v>
      </c>
      <c r="E167" s="1">
        <v>0</v>
      </c>
      <c r="F167" s="1">
        <v>2550000</v>
      </c>
      <c r="G167" s="1">
        <v>37000000</v>
      </c>
      <c r="H167" s="1">
        <v>22800000</v>
      </c>
      <c r="I167" s="1">
        <v>15100000</v>
      </c>
      <c r="J167" s="1">
        <v>22600000</v>
      </c>
      <c r="K167" s="1">
        <v>2200000000</v>
      </c>
      <c r="L167" s="1">
        <v>0</v>
      </c>
      <c r="M167" s="1">
        <v>0</v>
      </c>
      <c r="N167" s="1">
        <v>2390000000</v>
      </c>
    </row>
    <row r="168" spans="1:14" x14ac:dyDescent="0.2">
      <c r="A168" t="s">
        <v>232</v>
      </c>
      <c r="B168" s="1">
        <v>168000000</v>
      </c>
      <c r="C168" s="1">
        <v>0</v>
      </c>
      <c r="D168" s="1">
        <v>0</v>
      </c>
      <c r="E168" s="1">
        <v>0</v>
      </c>
      <c r="F168" s="1">
        <v>0</v>
      </c>
      <c r="G168" s="1">
        <v>40000000</v>
      </c>
      <c r="H168" s="1">
        <v>21500000</v>
      </c>
      <c r="I168" s="1">
        <v>20500000</v>
      </c>
      <c r="J168" s="1">
        <v>820000</v>
      </c>
      <c r="K168" s="1">
        <v>2450000000</v>
      </c>
      <c r="L168" s="1">
        <v>0</v>
      </c>
      <c r="M168" s="1">
        <v>0</v>
      </c>
      <c r="N168" s="1">
        <v>2700000000</v>
      </c>
    </row>
    <row r="169" spans="1:14" x14ac:dyDescent="0.2">
      <c r="A169" t="s">
        <v>233</v>
      </c>
      <c r="B169" s="1">
        <v>48800000</v>
      </c>
      <c r="C169" s="1">
        <v>0</v>
      </c>
      <c r="D169" s="1">
        <v>0</v>
      </c>
      <c r="E169" s="1">
        <v>0</v>
      </c>
      <c r="F169" s="1">
        <v>355000000</v>
      </c>
      <c r="G169" s="1">
        <v>13400000</v>
      </c>
      <c r="H169" s="1">
        <v>15800000</v>
      </c>
      <c r="I169" s="1">
        <v>0</v>
      </c>
      <c r="J169" s="1">
        <v>12100000</v>
      </c>
      <c r="K169" s="1">
        <v>2440000000</v>
      </c>
      <c r="L169" s="1">
        <v>0</v>
      </c>
      <c r="M169" s="1">
        <v>506000000</v>
      </c>
      <c r="N169" s="1">
        <v>3390000000</v>
      </c>
    </row>
    <row r="170" spans="1:14" x14ac:dyDescent="0.2">
      <c r="A170" t="s">
        <v>234</v>
      </c>
      <c r="B170" s="1">
        <v>32300000</v>
      </c>
      <c r="C170" s="1">
        <v>0</v>
      </c>
      <c r="D170" s="1">
        <v>0</v>
      </c>
      <c r="E170" s="1">
        <v>0</v>
      </c>
      <c r="F170" s="1">
        <v>391000000</v>
      </c>
      <c r="G170" s="1">
        <v>14300000</v>
      </c>
      <c r="H170" s="1">
        <v>22100000</v>
      </c>
      <c r="I170" s="1">
        <v>0</v>
      </c>
      <c r="J170" s="1">
        <v>16800000</v>
      </c>
      <c r="K170" s="1">
        <v>2440000000</v>
      </c>
      <c r="L170" s="1">
        <v>0</v>
      </c>
      <c r="M170" s="1">
        <v>448000000</v>
      </c>
      <c r="N170" s="1">
        <v>3360000000</v>
      </c>
    </row>
    <row r="171" spans="1:14" x14ac:dyDescent="0.2">
      <c r="A171" t="s">
        <v>235</v>
      </c>
      <c r="B171" s="1">
        <v>111000000</v>
      </c>
      <c r="C171" s="1">
        <v>0</v>
      </c>
      <c r="D171" s="1">
        <v>0</v>
      </c>
      <c r="E171" s="1">
        <v>0</v>
      </c>
      <c r="F171" s="1">
        <v>495000000</v>
      </c>
      <c r="G171" s="1">
        <v>16400000</v>
      </c>
      <c r="H171" s="1">
        <v>30500000</v>
      </c>
      <c r="I171" s="1">
        <v>0</v>
      </c>
      <c r="J171" s="1">
        <v>8400000</v>
      </c>
      <c r="K171" s="1">
        <v>3770000000</v>
      </c>
      <c r="L171" s="1">
        <v>0</v>
      </c>
      <c r="M171" s="1">
        <v>670000000</v>
      </c>
      <c r="N171" s="1">
        <v>5100000000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workbookViewId="0">
      <selection activeCell="G16" sqref="G16"/>
    </sheetView>
  </sheetViews>
  <sheetFormatPr baseColWidth="10" defaultRowHeight="15" x14ac:dyDescent="0.2"/>
  <sheetData>
    <row r="1" spans="1:5" x14ac:dyDescent="0.2">
      <c r="A1" t="s">
        <v>816</v>
      </c>
      <c r="B1" t="s">
        <v>817</v>
      </c>
      <c r="C1" t="s">
        <v>616</v>
      </c>
      <c r="D1" t="s">
        <v>615</v>
      </c>
      <c r="E1" t="s">
        <v>617</v>
      </c>
    </row>
    <row r="2" spans="1:5" x14ac:dyDescent="0.2">
      <c r="A2" t="s">
        <v>818</v>
      </c>
      <c r="B2" t="s">
        <v>9</v>
      </c>
      <c r="C2">
        <v>0.84285714285714297</v>
      </c>
      <c r="D2">
        <v>3.0178571428571401</v>
      </c>
      <c r="E2">
        <v>0.4</v>
      </c>
    </row>
    <row r="3" spans="1:5" x14ac:dyDescent="0.2">
      <c r="A3" t="s">
        <v>818</v>
      </c>
      <c r="B3" t="s">
        <v>10</v>
      </c>
      <c r="C3" s="1">
        <v>4.58333333333333E-5</v>
      </c>
      <c r="D3">
        <v>5.0277777777777803</v>
      </c>
      <c r="E3">
        <v>0.95277777777777795</v>
      </c>
    </row>
    <row r="4" spans="1:5" x14ac:dyDescent="0.2">
      <c r="A4" t="s">
        <v>818</v>
      </c>
      <c r="B4" t="s">
        <v>11</v>
      </c>
      <c r="C4">
        <v>1</v>
      </c>
      <c r="D4">
        <v>1</v>
      </c>
      <c r="E4">
        <v>1</v>
      </c>
    </row>
    <row r="5" spans="1:5" x14ac:dyDescent="0.2">
      <c r="A5" t="s">
        <v>818</v>
      </c>
      <c r="B5" t="s">
        <v>1</v>
      </c>
      <c r="C5">
        <v>1.3755274261603401</v>
      </c>
      <c r="D5">
        <v>3.4092827004219401E-4</v>
      </c>
      <c r="E5">
        <v>1.3628691983122401</v>
      </c>
    </row>
    <row r="6" spans="1:5" x14ac:dyDescent="0.2">
      <c r="A6" t="s">
        <v>818</v>
      </c>
      <c r="B6" t="s">
        <v>3</v>
      </c>
      <c r="C6">
        <v>1</v>
      </c>
      <c r="D6">
        <v>1</v>
      </c>
      <c r="E6">
        <v>1</v>
      </c>
    </row>
    <row r="7" spans="1:5" x14ac:dyDescent="0.2">
      <c r="A7" t="s">
        <v>818</v>
      </c>
      <c r="B7" t="s">
        <v>2</v>
      </c>
      <c r="C7">
        <v>1</v>
      </c>
      <c r="D7">
        <v>3765.4320987654301</v>
      </c>
      <c r="E7">
        <v>1</v>
      </c>
    </row>
    <row r="8" spans="1:5" x14ac:dyDescent="0.2">
      <c r="A8" t="s">
        <v>818</v>
      </c>
      <c r="B8" t="s">
        <v>4</v>
      </c>
      <c r="C8">
        <v>1.36915887850467</v>
      </c>
      <c r="D8">
        <v>10.5841121495327</v>
      </c>
      <c r="E8">
        <v>1.3785046728972E-3</v>
      </c>
    </row>
    <row r="9" spans="1:5" x14ac:dyDescent="0.2">
      <c r="A9" t="s">
        <v>818</v>
      </c>
      <c r="B9" t="s">
        <v>5</v>
      </c>
      <c r="C9">
        <v>2.0101522842639601</v>
      </c>
      <c r="D9">
        <v>4.2233502538071104</v>
      </c>
      <c r="E9">
        <v>0.86802030456852797</v>
      </c>
    </row>
    <row r="10" spans="1:5" x14ac:dyDescent="0.2">
      <c r="A10" t="s">
        <v>818</v>
      </c>
      <c r="B10" t="s">
        <v>6</v>
      </c>
      <c r="C10">
        <v>0.93525179856115104</v>
      </c>
      <c r="D10">
        <v>1.0647482014388501</v>
      </c>
      <c r="E10">
        <v>1.1726618705036</v>
      </c>
    </row>
    <row r="11" spans="1:5" x14ac:dyDescent="0.2">
      <c r="A11" t="s">
        <v>818</v>
      </c>
      <c r="B11" t="s">
        <v>7</v>
      </c>
      <c r="C11">
        <v>1.3059701492537299</v>
      </c>
      <c r="D11">
        <v>2.2126865671641802</v>
      </c>
      <c r="E11">
        <v>1.0186567164179099</v>
      </c>
    </row>
    <row r="12" spans="1:5" x14ac:dyDescent="0.2">
      <c r="A12" t="s">
        <v>818</v>
      </c>
      <c r="B12" t="s">
        <v>8</v>
      </c>
      <c r="C12">
        <v>1</v>
      </c>
      <c r="D12">
        <v>1</v>
      </c>
      <c r="E12">
        <v>53.170731707317103</v>
      </c>
    </row>
    <row r="13" spans="1:5" x14ac:dyDescent="0.2">
      <c r="A13" t="s">
        <v>818</v>
      </c>
      <c r="B13" t="s">
        <v>12</v>
      </c>
      <c r="C13">
        <v>4.4688644688644699</v>
      </c>
      <c r="D13">
        <v>1.84615384615385</v>
      </c>
      <c r="E13" s="1">
        <v>5.2014652014652E-5</v>
      </c>
    </row>
    <row r="14" spans="1:5" x14ac:dyDescent="0.2">
      <c r="A14" t="s">
        <v>819</v>
      </c>
      <c r="B14" t="s">
        <v>9</v>
      </c>
      <c r="C14">
        <v>4.3994413407821202</v>
      </c>
      <c r="D14">
        <v>9.5251396648044704</v>
      </c>
      <c r="E14">
        <v>1.0139664804469299</v>
      </c>
    </row>
    <row r="15" spans="1:5" x14ac:dyDescent="0.2">
      <c r="A15" t="s">
        <v>819</v>
      </c>
      <c r="B15" t="s">
        <v>10</v>
      </c>
      <c r="C15" s="1">
        <v>2.10727969348659E-6</v>
      </c>
      <c r="D15">
        <v>0.70689655172413801</v>
      </c>
      <c r="E15">
        <v>0.84929757343550405</v>
      </c>
    </row>
    <row r="16" spans="1:5" x14ac:dyDescent="0.2">
      <c r="A16" t="s">
        <v>819</v>
      </c>
      <c r="B16" t="s">
        <v>11</v>
      </c>
      <c r="C16">
        <v>1</v>
      </c>
      <c r="D16">
        <v>150.161812297735</v>
      </c>
      <c r="E16">
        <v>1</v>
      </c>
    </row>
    <row r="17" spans="1:5" x14ac:dyDescent="0.2">
      <c r="A17" t="s">
        <v>819</v>
      </c>
      <c r="B17" t="s">
        <v>1</v>
      </c>
      <c r="C17">
        <v>0.76036036036036003</v>
      </c>
      <c r="D17">
        <v>7.2792792792792803E-4</v>
      </c>
      <c r="E17">
        <v>0.57432432432432401</v>
      </c>
    </row>
    <row r="18" spans="1:5" x14ac:dyDescent="0.2">
      <c r="A18" t="s">
        <v>819</v>
      </c>
      <c r="B18" t="s">
        <v>3</v>
      </c>
      <c r="C18">
        <v>1</v>
      </c>
      <c r="D18">
        <v>1</v>
      </c>
      <c r="E18">
        <v>1</v>
      </c>
    </row>
    <row r="19" spans="1:5" x14ac:dyDescent="0.2">
      <c r="A19" t="s">
        <v>819</v>
      </c>
      <c r="B19" t="s">
        <v>2</v>
      </c>
      <c r="C19">
        <v>1</v>
      </c>
      <c r="D19">
        <v>1640.4320987654301</v>
      </c>
      <c r="E19">
        <v>1</v>
      </c>
    </row>
    <row r="20" spans="1:5" x14ac:dyDescent="0.2">
      <c r="A20" t="s">
        <v>819</v>
      </c>
      <c r="B20" t="s">
        <v>4</v>
      </c>
      <c r="C20">
        <v>42796.610169491498</v>
      </c>
      <c r="D20">
        <v>1</v>
      </c>
      <c r="E20">
        <v>1</v>
      </c>
    </row>
    <row r="21" spans="1:5" x14ac:dyDescent="0.2">
      <c r="A21" t="s">
        <v>819</v>
      </c>
      <c r="B21" t="s">
        <v>5</v>
      </c>
      <c r="C21">
        <v>0.79743589743589705</v>
      </c>
      <c r="D21">
        <v>0.66923076923076896</v>
      </c>
      <c r="E21">
        <v>1.1256410256410301E-2</v>
      </c>
    </row>
    <row r="22" spans="1:5" x14ac:dyDescent="0.2">
      <c r="A22" t="s">
        <v>819</v>
      </c>
      <c r="B22" t="s">
        <v>6</v>
      </c>
      <c r="C22">
        <v>1.47519083969466</v>
      </c>
      <c r="D22">
        <v>0.34732824427480902</v>
      </c>
      <c r="E22">
        <v>1.4961832061068701</v>
      </c>
    </row>
    <row r="23" spans="1:5" x14ac:dyDescent="0.2">
      <c r="A23" t="s">
        <v>819</v>
      </c>
      <c r="B23" t="s">
        <v>7</v>
      </c>
      <c r="C23">
        <v>3.2459016393442601</v>
      </c>
      <c r="D23">
        <v>0.16131147540983601</v>
      </c>
      <c r="E23">
        <v>1.34426229508197</v>
      </c>
    </row>
    <row r="24" spans="1:5" x14ac:dyDescent="0.2">
      <c r="A24" t="s">
        <v>819</v>
      </c>
      <c r="B24" t="s">
        <v>8</v>
      </c>
      <c r="C24">
        <v>3.23244552058111</v>
      </c>
      <c r="D24">
        <v>0.91525423728813604</v>
      </c>
      <c r="E24">
        <v>4.3583535108958804</v>
      </c>
    </row>
    <row r="25" spans="1:5" x14ac:dyDescent="0.2">
      <c r="A25" t="s">
        <v>819</v>
      </c>
      <c r="B25" t="s">
        <v>12</v>
      </c>
      <c r="C25">
        <v>0.93129770992366401</v>
      </c>
      <c r="D25">
        <v>0.48702290076335902</v>
      </c>
      <c r="E25" s="1">
        <v>1.0839694656488501E-5</v>
      </c>
    </row>
    <row r="26" spans="1:5" x14ac:dyDescent="0.2">
      <c r="A26" t="s">
        <v>820</v>
      </c>
      <c r="B26" t="s">
        <v>9</v>
      </c>
      <c r="C26">
        <v>1.88205128205128</v>
      </c>
      <c r="D26">
        <v>14.9230769230769</v>
      </c>
      <c r="E26">
        <v>0.60769230769230798</v>
      </c>
    </row>
    <row r="27" spans="1:5" x14ac:dyDescent="0.2">
      <c r="A27" t="s">
        <v>820</v>
      </c>
      <c r="B27" t="s">
        <v>10</v>
      </c>
      <c r="C27" s="1">
        <v>2.1883289124668398E-6</v>
      </c>
      <c r="D27">
        <v>1.59151193633952</v>
      </c>
      <c r="E27">
        <v>0.46750663129973502</v>
      </c>
    </row>
    <row r="28" spans="1:5" x14ac:dyDescent="0.2">
      <c r="A28" t="s">
        <v>820</v>
      </c>
      <c r="B28" t="s">
        <v>11</v>
      </c>
      <c r="C28">
        <v>1</v>
      </c>
      <c r="D28">
        <v>3818.77022653722</v>
      </c>
      <c r="E28">
        <v>1</v>
      </c>
    </row>
    <row r="29" spans="1:5" x14ac:dyDescent="0.2">
      <c r="A29" t="s">
        <v>820</v>
      </c>
      <c r="B29" t="s">
        <v>1</v>
      </c>
      <c r="C29">
        <v>1.8808510638297899</v>
      </c>
      <c r="D29">
        <v>3.4382978723404301E-4</v>
      </c>
      <c r="E29">
        <v>1.2127659574468099</v>
      </c>
    </row>
    <row r="30" spans="1:5" x14ac:dyDescent="0.2">
      <c r="A30" t="s">
        <v>820</v>
      </c>
      <c r="B30" t="s">
        <v>3</v>
      </c>
      <c r="C30">
        <v>5.4310344827586201</v>
      </c>
      <c r="D30">
        <v>1</v>
      </c>
      <c r="E30">
        <v>1</v>
      </c>
    </row>
    <row r="31" spans="1:5" x14ac:dyDescent="0.2">
      <c r="A31" t="s">
        <v>820</v>
      </c>
      <c r="B31" t="s">
        <v>2</v>
      </c>
      <c r="C31">
        <v>3.2480916030534401</v>
      </c>
      <c r="D31">
        <v>8.3969465648855</v>
      </c>
      <c r="E31">
        <v>1.4293893129771</v>
      </c>
    </row>
    <row r="32" spans="1:5" x14ac:dyDescent="0.2">
      <c r="A32" t="s">
        <v>820</v>
      </c>
      <c r="B32" t="s">
        <v>4</v>
      </c>
      <c r="C32">
        <v>3.7917485265225901</v>
      </c>
      <c r="D32">
        <v>1.8998035363457799</v>
      </c>
      <c r="E32">
        <v>0.58939096267190605</v>
      </c>
    </row>
    <row r="33" spans="1:5" x14ac:dyDescent="0.2">
      <c r="A33" t="s">
        <v>820</v>
      </c>
      <c r="B33" t="s">
        <v>5</v>
      </c>
      <c r="C33">
        <v>0.70399999999999996</v>
      </c>
      <c r="D33">
        <v>1.86</v>
      </c>
      <c r="E33" s="1">
        <v>1.895E-5</v>
      </c>
    </row>
    <row r="34" spans="1:5" x14ac:dyDescent="0.2">
      <c r="A34" t="s">
        <v>820</v>
      </c>
      <c r="B34" t="s">
        <v>6</v>
      </c>
      <c r="C34">
        <v>1.1415929203539801</v>
      </c>
      <c r="D34">
        <v>2.5840707964601801</v>
      </c>
      <c r="E34">
        <v>1.84955752212389</v>
      </c>
    </row>
    <row r="35" spans="1:5" x14ac:dyDescent="0.2">
      <c r="A35" t="s">
        <v>820</v>
      </c>
      <c r="B35" t="s">
        <v>7</v>
      </c>
      <c r="C35">
        <v>1.02743142144638</v>
      </c>
      <c r="D35">
        <v>1.40897755610973</v>
      </c>
      <c r="E35">
        <v>0.72443890274314204</v>
      </c>
    </row>
    <row r="36" spans="1:5" x14ac:dyDescent="0.2">
      <c r="A36" t="s">
        <v>820</v>
      </c>
      <c r="B36" t="s">
        <v>8</v>
      </c>
      <c r="C36">
        <v>1.3119266055045899</v>
      </c>
      <c r="D36">
        <v>1.57339449541284</v>
      </c>
      <c r="E36">
        <v>1.15366972477064</v>
      </c>
    </row>
    <row r="37" spans="1:5" x14ac:dyDescent="0.2">
      <c r="A37" t="s">
        <v>820</v>
      </c>
      <c r="B37" t="s">
        <v>12</v>
      </c>
      <c r="C37">
        <v>1.4259681093394101</v>
      </c>
      <c r="D37">
        <v>1.2186788154897501</v>
      </c>
      <c r="E37" s="1">
        <v>3.2346241457858799E-5</v>
      </c>
    </row>
    <row r="38" spans="1:5" x14ac:dyDescent="0.2">
      <c r="A38" t="s">
        <v>821</v>
      </c>
      <c r="B38" t="s">
        <v>9</v>
      </c>
      <c r="C38">
        <v>1</v>
      </c>
      <c r="D38">
        <v>1</v>
      </c>
      <c r="E38">
        <v>1</v>
      </c>
    </row>
    <row r="39" spans="1:5" x14ac:dyDescent="0.2">
      <c r="A39" t="s">
        <v>821</v>
      </c>
      <c r="B39" t="s">
        <v>10</v>
      </c>
      <c r="C39">
        <v>1.1538461538461499E-2</v>
      </c>
      <c r="D39">
        <v>5.1188811188811197E-2</v>
      </c>
      <c r="E39">
        <v>0.15384615384615399</v>
      </c>
    </row>
    <row r="40" spans="1:5" x14ac:dyDescent="0.2">
      <c r="A40" t="s">
        <v>821</v>
      </c>
      <c r="B40" t="s">
        <v>11</v>
      </c>
      <c r="C40">
        <v>1</v>
      </c>
      <c r="D40">
        <v>1</v>
      </c>
      <c r="E40">
        <v>1</v>
      </c>
    </row>
    <row r="41" spans="1:5" x14ac:dyDescent="0.2">
      <c r="A41" t="s">
        <v>821</v>
      </c>
      <c r="B41" t="s">
        <v>1</v>
      </c>
      <c r="C41">
        <v>1.08896103896104</v>
      </c>
      <c r="D41">
        <v>1.04935064935065E-4</v>
      </c>
      <c r="E41">
        <v>1.66233766233766</v>
      </c>
    </row>
    <row r="42" spans="1:5" x14ac:dyDescent="0.2">
      <c r="A42" t="s">
        <v>821</v>
      </c>
      <c r="B42" t="s">
        <v>3</v>
      </c>
      <c r="C42">
        <v>1</v>
      </c>
      <c r="D42">
        <v>1</v>
      </c>
      <c r="E42">
        <v>1</v>
      </c>
    </row>
    <row r="43" spans="1:5" x14ac:dyDescent="0.2">
      <c r="A43" t="s">
        <v>821</v>
      </c>
      <c r="B43" t="s">
        <v>2</v>
      </c>
      <c r="C43">
        <v>1</v>
      </c>
      <c r="D43">
        <v>1</v>
      </c>
      <c r="E43">
        <v>1</v>
      </c>
    </row>
    <row r="44" spans="1:5" x14ac:dyDescent="0.2">
      <c r="A44" t="s">
        <v>821</v>
      </c>
      <c r="B44" t="s">
        <v>4</v>
      </c>
      <c r="C44">
        <v>1</v>
      </c>
      <c r="D44">
        <v>1.3016949152542401</v>
      </c>
      <c r="E44">
        <v>1</v>
      </c>
    </row>
    <row r="45" spans="1:5" x14ac:dyDescent="0.2">
      <c r="A45" t="s">
        <v>821</v>
      </c>
      <c r="B45" t="s">
        <v>5</v>
      </c>
      <c r="C45">
        <v>1.0284974093264201</v>
      </c>
      <c r="D45">
        <v>0.35492227979274599</v>
      </c>
      <c r="E45">
        <v>1.26424870466321</v>
      </c>
    </row>
    <row r="46" spans="1:5" x14ac:dyDescent="0.2">
      <c r="A46" t="s">
        <v>821</v>
      </c>
      <c r="B46" t="s">
        <v>6</v>
      </c>
      <c r="C46">
        <v>0.79458333333333298</v>
      </c>
      <c r="D46">
        <v>4.93333333333333</v>
      </c>
      <c r="E46">
        <v>1.19166666666667</v>
      </c>
    </row>
    <row r="47" spans="1:5" x14ac:dyDescent="0.2">
      <c r="A47" t="s">
        <v>821</v>
      </c>
      <c r="B47" t="s">
        <v>7</v>
      </c>
      <c r="C47">
        <v>1</v>
      </c>
      <c r="D47">
        <v>1</v>
      </c>
      <c r="E47">
        <v>1</v>
      </c>
    </row>
    <row r="48" spans="1:5" x14ac:dyDescent="0.2">
      <c r="A48" t="s">
        <v>821</v>
      </c>
      <c r="B48" t="s">
        <v>8</v>
      </c>
      <c r="C48">
        <v>1.6615853658536599</v>
      </c>
      <c r="D48">
        <v>1</v>
      </c>
      <c r="E48">
        <v>180.48780487804899</v>
      </c>
    </row>
    <row r="49" spans="1:5" x14ac:dyDescent="0.2">
      <c r="A49" t="s">
        <v>821</v>
      </c>
      <c r="B49" t="s">
        <v>12</v>
      </c>
      <c r="C49">
        <v>1</v>
      </c>
      <c r="D49">
        <v>1</v>
      </c>
      <c r="E49">
        <v>1</v>
      </c>
    </row>
    <row r="50" spans="1:5" x14ac:dyDescent="0.2">
      <c r="A50" t="s">
        <v>822</v>
      </c>
      <c r="B50" t="s">
        <v>9</v>
      </c>
      <c r="C50">
        <v>0.38687500000000002</v>
      </c>
      <c r="D50">
        <v>8.8125</v>
      </c>
      <c r="E50">
        <v>8.6249999999999993E-2</v>
      </c>
    </row>
    <row r="51" spans="1:5" x14ac:dyDescent="0.2">
      <c r="A51" t="s">
        <v>822</v>
      </c>
      <c r="B51" t="s">
        <v>10</v>
      </c>
      <c r="C51" s="1">
        <v>2.0048602673146999E-5</v>
      </c>
      <c r="D51">
        <v>0.94046172539489703</v>
      </c>
      <c r="E51">
        <v>0.232077764277035</v>
      </c>
    </row>
    <row r="52" spans="1:5" x14ac:dyDescent="0.2">
      <c r="A52" t="s">
        <v>822</v>
      </c>
      <c r="B52" t="s">
        <v>11</v>
      </c>
      <c r="C52">
        <v>1</v>
      </c>
      <c r="D52">
        <v>1</v>
      </c>
      <c r="E52">
        <v>1</v>
      </c>
    </row>
    <row r="53" spans="1:5" x14ac:dyDescent="0.2">
      <c r="A53" t="s">
        <v>822</v>
      </c>
      <c r="B53" t="s">
        <v>1</v>
      </c>
      <c r="C53">
        <v>1.09756097560976</v>
      </c>
      <c r="D53">
        <v>3.2845528455284598E-4</v>
      </c>
      <c r="E53">
        <v>0.654471544715447</v>
      </c>
    </row>
    <row r="54" spans="1:5" x14ac:dyDescent="0.2">
      <c r="A54" t="s">
        <v>822</v>
      </c>
      <c r="B54" t="s">
        <v>3</v>
      </c>
      <c r="C54">
        <v>1</v>
      </c>
      <c r="D54">
        <v>1</v>
      </c>
      <c r="E54">
        <v>1</v>
      </c>
    </row>
    <row r="55" spans="1:5" x14ac:dyDescent="0.2">
      <c r="A55" t="s">
        <v>822</v>
      </c>
      <c r="B55" t="s">
        <v>2</v>
      </c>
      <c r="C55">
        <v>1</v>
      </c>
      <c r="D55">
        <v>1941.35802469136</v>
      </c>
      <c r="E55">
        <v>1</v>
      </c>
    </row>
    <row r="56" spans="1:5" x14ac:dyDescent="0.2">
      <c r="A56" t="s">
        <v>822</v>
      </c>
      <c r="B56" t="s">
        <v>4</v>
      </c>
      <c r="C56">
        <v>1.6286231884058</v>
      </c>
      <c r="D56">
        <v>0.77173913043478304</v>
      </c>
      <c r="E56">
        <v>0.12137681159420299</v>
      </c>
    </row>
    <row r="57" spans="1:5" x14ac:dyDescent="0.2">
      <c r="A57" t="s">
        <v>822</v>
      </c>
      <c r="B57" t="s">
        <v>5</v>
      </c>
      <c r="C57">
        <v>0.87656903765690397</v>
      </c>
      <c r="D57">
        <v>0.28661087866108798</v>
      </c>
      <c r="E57">
        <v>2.46861924686192E-4</v>
      </c>
    </row>
    <row r="58" spans="1:5" x14ac:dyDescent="0.2">
      <c r="A58" t="s">
        <v>822</v>
      </c>
      <c r="B58" t="s">
        <v>6</v>
      </c>
      <c r="C58">
        <v>1.13942307692308</v>
      </c>
      <c r="D58">
        <v>0.46250000000000002</v>
      </c>
      <c r="E58">
        <v>0.42692307692307702</v>
      </c>
    </row>
    <row r="59" spans="1:5" x14ac:dyDescent="0.2">
      <c r="A59" t="s">
        <v>822</v>
      </c>
      <c r="B59" t="s">
        <v>7</v>
      </c>
      <c r="C59">
        <v>1</v>
      </c>
      <c r="D59">
        <v>1</v>
      </c>
      <c r="E59">
        <v>1</v>
      </c>
    </row>
    <row r="60" spans="1:5" x14ac:dyDescent="0.2">
      <c r="A60" t="s">
        <v>822</v>
      </c>
      <c r="B60" t="s">
        <v>8</v>
      </c>
      <c r="C60">
        <v>1.1314363143631401</v>
      </c>
      <c r="D60">
        <v>4.4444444444444401E-3</v>
      </c>
      <c r="E60">
        <v>0.44444444444444398</v>
      </c>
    </row>
    <row r="61" spans="1:5" x14ac:dyDescent="0.2">
      <c r="A61" t="s">
        <v>822</v>
      </c>
      <c r="B61" t="s">
        <v>12</v>
      </c>
      <c r="C61">
        <v>0.84738955823293205</v>
      </c>
      <c r="D61">
        <v>0.947791164658635</v>
      </c>
      <c r="E61" s="1">
        <v>5.7028112449799198E-5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9"/>
  <sheetViews>
    <sheetView workbookViewId="0">
      <selection activeCell="E29" sqref="E29"/>
    </sheetView>
  </sheetViews>
  <sheetFormatPr baseColWidth="10" defaultRowHeight="15" x14ac:dyDescent="0.2"/>
  <cols>
    <col min="1" max="1" width="27.6640625" customWidth="1"/>
  </cols>
  <sheetData>
    <row r="1" spans="1:4" x14ac:dyDescent="0.2">
      <c r="A1" t="s">
        <v>387</v>
      </c>
      <c r="B1" s="2" t="s">
        <v>388</v>
      </c>
      <c r="C1" s="2" t="s">
        <v>389</v>
      </c>
      <c r="D1" s="2" t="s">
        <v>390</v>
      </c>
    </row>
    <row r="2" spans="1:4" x14ac:dyDescent="0.2">
      <c r="A2" t="s">
        <v>428</v>
      </c>
      <c r="B2" s="2">
        <v>-1.07</v>
      </c>
      <c r="C2" s="2">
        <v>-1.1399999999999999</v>
      </c>
      <c r="D2" s="2">
        <v>-1.19</v>
      </c>
    </row>
    <row r="3" spans="1:4" x14ac:dyDescent="0.2">
      <c r="A3" t="s">
        <v>429</v>
      </c>
      <c r="B3" s="2">
        <v>-1.21</v>
      </c>
      <c r="C3" s="2">
        <v>-1.1499999999999999</v>
      </c>
      <c r="D3" s="2">
        <v>-1.2</v>
      </c>
    </row>
    <row r="4" spans="1:4" x14ac:dyDescent="0.2">
      <c r="A4" t="s">
        <v>430</v>
      </c>
      <c r="B4" s="2">
        <v>-1.19</v>
      </c>
      <c r="C4" s="2">
        <v>-1.17</v>
      </c>
      <c r="D4" s="2">
        <v>-1.22</v>
      </c>
    </row>
    <row r="5" spans="1:4" x14ac:dyDescent="0.2">
      <c r="A5" t="s">
        <v>431</v>
      </c>
      <c r="B5" s="2">
        <v>-1.01</v>
      </c>
      <c r="C5" s="2">
        <v>-1.1299999999999999</v>
      </c>
      <c r="D5" s="2">
        <v>-0.96</v>
      </c>
    </row>
    <row r="6" spans="1:4" x14ac:dyDescent="0.2">
      <c r="A6" t="s">
        <v>432</v>
      </c>
      <c r="B6" s="2">
        <v>-0.92</v>
      </c>
      <c r="C6" s="2">
        <v>-1.1399999999999999</v>
      </c>
      <c r="D6" s="2">
        <v>-0.99</v>
      </c>
    </row>
    <row r="7" spans="1:4" x14ac:dyDescent="0.2">
      <c r="A7" t="s">
        <v>433</v>
      </c>
      <c r="B7" s="2">
        <v>-0.92</v>
      </c>
      <c r="C7" s="2">
        <v>-1.1100000000000001</v>
      </c>
      <c r="D7" s="2">
        <v>-1</v>
      </c>
    </row>
    <row r="8" spans="1:4" x14ac:dyDescent="0.2">
      <c r="A8" t="s">
        <v>434</v>
      </c>
      <c r="B8" s="2">
        <v>-0.99</v>
      </c>
      <c r="C8" s="2">
        <v>-1.1399999999999999</v>
      </c>
      <c r="D8" s="2">
        <v>-1.02</v>
      </c>
    </row>
    <row r="9" spans="1:4" x14ac:dyDescent="0.2">
      <c r="A9" t="s">
        <v>435</v>
      </c>
      <c r="B9" s="2">
        <v>-0.96</v>
      </c>
      <c r="C9" s="2">
        <v>-1.1299999999999999</v>
      </c>
      <c r="D9" s="2">
        <v>-0.99</v>
      </c>
    </row>
    <row r="10" spans="1:4" x14ac:dyDescent="0.2">
      <c r="A10" t="s">
        <v>436</v>
      </c>
      <c r="B10" s="2">
        <v>-0.91</v>
      </c>
      <c r="C10" s="2">
        <v>-1.1299999999999999</v>
      </c>
      <c r="D10" s="2">
        <v>-0.96</v>
      </c>
    </row>
    <row r="11" spans="1:4" x14ac:dyDescent="0.2">
      <c r="A11" t="s">
        <v>437</v>
      </c>
      <c r="B11" s="2">
        <v>-0.93</v>
      </c>
      <c r="C11" s="2">
        <v>-1.1000000000000001</v>
      </c>
      <c r="D11" s="2">
        <v>-0.94</v>
      </c>
    </row>
    <row r="12" spans="1:4" x14ac:dyDescent="0.2">
      <c r="A12" t="s">
        <v>438</v>
      </c>
      <c r="B12" s="2">
        <v>-0.9</v>
      </c>
      <c r="C12" s="2">
        <v>-1.1499999999999999</v>
      </c>
      <c r="D12" s="2">
        <v>-0.96</v>
      </c>
    </row>
    <row r="13" spans="1:4" x14ac:dyDescent="0.2">
      <c r="A13" t="s">
        <v>439</v>
      </c>
      <c r="B13" s="2">
        <v>-0.92</v>
      </c>
      <c r="C13" s="2"/>
      <c r="D13" s="2">
        <v>-0.94</v>
      </c>
    </row>
    <row r="14" spans="1:4" x14ac:dyDescent="0.2">
      <c r="A14" t="s">
        <v>440</v>
      </c>
      <c r="B14" s="2">
        <v>-0.89</v>
      </c>
      <c r="C14" s="2">
        <v>-0.94</v>
      </c>
      <c r="D14" s="2">
        <v>-0.86</v>
      </c>
    </row>
    <row r="15" spans="1:4" x14ac:dyDescent="0.2">
      <c r="A15" t="s">
        <v>441</v>
      </c>
      <c r="B15" s="2">
        <v>-0.79</v>
      </c>
      <c r="C15" s="2">
        <v>-0.95</v>
      </c>
      <c r="D15" s="2">
        <v>-0.88</v>
      </c>
    </row>
    <row r="16" spans="1:4" x14ac:dyDescent="0.2">
      <c r="A16" t="s">
        <v>442</v>
      </c>
      <c r="B16" s="2">
        <v>-0.88</v>
      </c>
      <c r="C16" s="2"/>
      <c r="D16" s="2">
        <v>-0.88</v>
      </c>
    </row>
    <row r="17" spans="1:4" x14ac:dyDescent="0.2">
      <c r="A17" t="s">
        <v>443</v>
      </c>
      <c r="B17" s="2">
        <v>-1.1599999999999999</v>
      </c>
      <c r="C17" s="2">
        <v>-1.1399999999999999</v>
      </c>
      <c r="D17" s="2">
        <v>-0.99</v>
      </c>
    </row>
    <row r="18" spans="1:4" x14ac:dyDescent="0.2">
      <c r="A18" t="s">
        <v>444</v>
      </c>
      <c r="B18" s="2">
        <v>-1.1200000000000001</v>
      </c>
      <c r="C18" s="2">
        <v>-1.1100000000000001</v>
      </c>
      <c r="D18" s="2">
        <v>-0.95</v>
      </c>
    </row>
    <row r="19" spans="1:4" x14ac:dyDescent="0.2">
      <c r="A19" t="s">
        <v>445</v>
      </c>
      <c r="B19" s="2" t="s">
        <v>395</v>
      </c>
      <c r="C19" s="2">
        <v>-1.06</v>
      </c>
      <c r="D19" s="2">
        <v>-0.93</v>
      </c>
    </row>
    <row r="20" spans="1:4" x14ac:dyDescent="0.2">
      <c r="A20" t="s">
        <v>446</v>
      </c>
      <c r="B20" s="2">
        <v>-1.05</v>
      </c>
      <c r="C20" s="2">
        <v>-1.07</v>
      </c>
      <c r="D20" s="2">
        <v>-0.87</v>
      </c>
    </row>
    <row r="21" spans="1:4" x14ac:dyDescent="0.2">
      <c r="A21" t="s">
        <v>447</v>
      </c>
      <c r="B21" s="2">
        <v>-1.06</v>
      </c>
      <c r="C21" s="2">
        <v>-1.07</v>
      </c>
      <c r="D21" s="2">
        <v>-0.9</v>
      </c>
    </row>
    <row r="22" spans="1:4" x14ac:dyDescent="0.2">
      <c r="A22" t="s">
        <v>448</v>
      </c>
      <c r="B22" s="2">
        <v>-1.02</v>
      </c>
      <c r="C22" s="2">
        <v>-1.02</v>
      </c>
      <c r="D22" s="2">
        <v>-0.9</v>
      </c>
    </row>
    <row r="23" spans="1:4" x14ac:dyDescent="0.2">
      <c r="A23" t="s">
        <v>449</v>
      </c>
      <c r="B23" s="2">
        <v>-1.06</v>
      </c>
      <c r="C23" s="2">
        <v>-1.0900000000000001</v>
      </c>
      <c r="D23" s="2">
        <v>-0.9</v>
      </c>
    </row>
    <row r="24" spans="1:4" x14ac:dyDescent="0.2">
      <c r="A24" t="s">
        <v>450</v>
      </c>
      <c r="B24" s="2">
        <v>-1.06</v>
      </c>
      <c r="C24" s="2">
        <v>-1.07</v>
      </c>
      <c r="D24" s="2">
        <v>-0.91</v>
      </c>
    </row>
    <row r="25" spans="1:4" x14ac:dyDescent="0.2">
      <c r="A25" t="s">
        <v>451</v>
      </c>
      <c r="B25" s="2">
        <v>-0.96</v>
      </c>
      <c r="C25" s="2">
        <v>-0.98</v>
      </c>
      <c r="D25" s="2">
        <v>-0.91</v>
      </c>
    </row>
    <row r="26" spans="1:4" x14ac:dyDescent="0.2">
      <c r="A26" t="s">
        <v>452</v>
      </c>
      <c r="B26" s="2">
        <v>-0.99</v>
      </c>
      <c r="C26" s="2">
        <v>-0.9</v>
      </c>
      <c r="D26" s="2">
        <v>-0.86</v>
      </c>
    </row>
    <row r="27" spans="1:4" x14ac:dyDescent="0.2">
      <c r="A27" t="s">
        <v>453</v>
      </c>
      <c r="B27" s="2">
        <v>-0.98</v>
      </c>
      <c r="C27" s="2">
        <v>-1.01</v>
      </c>
      <c r="D27" s="2">
        <v>-0.83</v>
      </c>
    </row>
    <row r="28" spans="1:4" x14ac:dyDescent="0.2">
      <c r="A28" t="s">
        <v>454</v>
      </c>
      <c r="B28" s="2">
        <v>-0.96</v>
      </c>
      <c r="C28" s="2">
        <v>-1.02</v>
      </c>
      <c r="D28" s="2">
        <v>-0.76</v>
      </c>
    </row>
    <row r="29" spans="1:4" x14ac:dyDescent="0.2">
      <c r="A29" t="s">
        <v>455</v>
      </c>
      <c r="B29" s="2">
        <v>-0.98</v>
      </c>
      <c r="C29" s="2">
        <v>-1</v>
      </c>
      <c r="D29" s="2">
        <v>-0.82</v>
      </c>
    </row>
    <row r="30" spans="1:4" x14ac:dyDescent="0.2">
      <c r="A30" t="s">
        <v>456</v>
      </c>
      <c r="B30" s="2">
        <v>-0.91</v>
      </c>
      <c r="C30" s="2">
        <v>-1.04</v>
      </c>
      <c r="D30" s="2">
        <v>-0.71</v>
      </c>
    </row>
    <row r="31" spans="1:4" x14ac:dyDescent="0.2">
      <c r="A31" t="s">
        <v>457</v>
      </c>
      <c r="B31" s="2" t="s">
        <v>395</v>
      </c>
      <c r="C31" s="2">
        <v>-0.94</v>
      </c>
      <c r="D31" s="2" t="s">
        <v>395</v>
      </c>
    </row>
    <row r="32" spans="1:4" x14ac:dyDescent="0.2">
      <c r="A32" t="s">
        <v>458</v>
      </c>
      <c r="B32" s="2">
        <v>-1.01</v>
      </c>
      <c r="C32" s="2">
        <v>-1.05</v>
      </c>
      <c r="D32" s="2">
        <v>-0.84</v>
      </c>
    </row>
    <row r="33" spans="1:4" x14ac:dyDescent="0.2">
      <c r="A33" t="s">
        <v>459</v>
      </c>
      <c r="B33" s="2">
        <v>-1.01</v>
      </c>
      <c r="C33" s="2">
        <v>-1.04</v>
      </c>
      <c r="D33" s="2">
        <v>-0.74</v>
      </c>
    </row>
    <row r="34" spans="1:4" x14ac:dyDescent="0.2">
      <c r="A34" t="s">
        <v>460</v>
      </c>
      <c r="B34" s="2">
        <v>-0.94</v>
      </c>
      <c r="C34" s="2">
        <v>-1.06</v>
      </c>
      <c r="D34" s="2">
        <v>-0.74</v>
      </c>
    </row>
    <row r="35" spans="1:4" x14ac:dyDescent="0.2">
      <c r="A35" t="s">
        <v>461</v>
      </c>
      <c r="B35" s="2">
        <v>-0.97</v>
      </c>
      <c r="C35" s="2">
        <v>-1.21</v>
      </c>
      <c r="D35" s="2">
        <v>-0.78</v>
      </c>
    </row>
    <row r="36" spans="1:4" x14ac:dyDescent="0.2">
      <c r="A36" t="s">
        <v>462</v>
      </c>
      <c r="B36" s="2">
        <v>-1.19</v>
      </c>
      <c r="C36" s="2">
        <v>-1.21</v>
      </c>
      <c r="D36" s="2">
        <v>-0.91</v>
      </c>
    </row>
    <row r="37" spans="1:4" x14ac:dyDescent="0.2">
      <c r="A37" t="s">
        <v>463</v>
      </c>
      <c r="B37" s="2">
        <v>-1.0900000000000001</v>
      </c>
      <c r="C37" s="2">
        <v>-1.23</v>
      </c>
      <c r="D37" s="2">
        <v>-0.64</v>
      </c>
    </row>
    <row r="38" spans="1:4" x14ac:dyDescent="0.2">
      <c r="A38" t="s">
        <v>464</v>
      </c>
      <c r="B38" s="2">
        <v>-1</v>
      </c>
      <c r="C38" s="2">
        <v>-1.08</v>
      </c>
      <c r="D38" s="2">
        <v>-0.97</v>
      </c>
    </row>
    <row r="39" spans="1:4" x14ac:dyDescent="0.2">
      <c r="A39" t="s">
        <v>465</v>
      </c>
      <c r="B39" s="2">
        <v>-0.94</v>
      </c>
      <c r="C39" s="2">
        <v>-1.08</v>
      </c>
      <c r="D39" s="2">
        <v>-0.97</v>
      </c>
    </row>
    <row r="40" spans="1:4" x14ac:dyDescent="0.2">
      <c r="A40" t="s">
        <v>466</v>
      </c>
      <c r="B40" s="2">
        <v>-0.92</v>
      </c>
      <c r="C40" s="2">
        <v>-1.07</v>
      </c>
      <c r="D40" s="2">
        <v>-0.96</v>
      </c>
    </row>
    <row r="41" spans="1:4" x14ac:dyDescent="0.2">
      <c r="A41" t="s">
        <v>467</v>
      </c>
      <c r="B41" s="2">
        <v>-1.44</v>
      </c>
      <c r="C41" s="2">
        <v>-1.36</v>
      </c>
      <c r="D41" s="2">
        <v>-1.44</v>
      </c>
    </row>
    <row r="42" spans="1:4" x14ac:dyDescent="0.2">
      <c r="A42" t="s">
        <v>468</v>
      </c>
      <c r="B42" s="2">
        <v>-1.48</v>
      </c>
      <c r="C42" s="2">
        <v>-1.31</v>
      </c>
      <c r="D42" s="2">
        <v>-1.49</v>
      </c>
    </row>
    <row r="43" spans="1:4" x14ac:dyDescent="0.2">
      <c r="A43" t="s">
        <v>469</v>
      </c>
      <c r="B43" s="2">
        <v>-1.46</v>
      </c>
      <c r="C43" s="2">
        <v>-1.37</v>
      </c>
      <c r="D43" s="2" t="s">
        <v>395</v>
      </c>
    </row>
    <row r="44" spans="1:4" x14ac:dyDescent="0.2">
      <c r="A44" t="s">
        <v>470</v>
      </c>
      <c r="B44" s="2">
        <v>-1.25</v>
      </c>
      <c r="C44" s="2">
        <v>-1.33</v>
      </c>
      <c r="D44" s="2">
        <v>-1.3</v>
      </c>
    </row>
    <row r="45" spans="1:4" x14ac:dyDescent="0.2">
      <c r="A45" t="s">
        <v>471</v>
      </c>
      <c r="B45" s="2">
        <v>-1.27</v>
      </c>
      <c r="C45" s="2">
        <v>-1.35</v>
      </c>
      <c r="D45" s="2">
        <v>-1.34</v>
      </c>
    </row>
    <row r="46" spans="1:4" x14ac:dyDescent="0.2">
      <c r="A46" t="s">
        <v>472</v>
      </c>
      <c r="B46" s="2">
        <v>-1.26</v>
      </c>
      <c r="C46" s="2">
        <v>-1.33</v>
      </c>
      <c r="D46" s="2">
        <v>-1.41</v>
      </c>
    </row>
    <row r="47" spans="1:4" x14ac:dyDescent="0.2">
      <c r="A47" t="s">
        <v>473</v>
      </c>
      <c r="B47" s="2">
        <v>-1.19</v>
      </c>
      <c r="C47" s="2">
        <v>-1.28</v>
      </c>
      <c r="D47" s="2">
        <v>-1.27</v>
      </c>
    </row>
    <row r="48" spans="1:4" x14ac:dyDescent="0.2">
      <c r="A48" t="s">
        <v>474</v>
      </c>
      <c r="B48" s="2">
        <v>-1.24</v>
      </c>
      <c r="C48" s="2">
        <v>-1.28</v>
      </c>
      <c r="D48" s="2">
        <v>-1.3</v>
      </c>
    </row>
    <row r="49" spans="1:4" x14ac:dyDescent="0.2">
      <c r="A49" t="s">
        <v>475</v>
      </c>
      <c r="B49" s="2">
        <v>-1.25</v>
      </c>
      <c r="C49" s="2">
        <v>-1.27</v>
      </c>
      <c r="D49" s="2">
        <v>-1.3</v>
      </c>
    </row>
    <row r="50" spans="1:4" x14ac:dyDescent="0.2">
      <c r="A50" t="s">
        <v>476</v>
      </c>
      <c r="B50" s="2">
        <v>-1.24</v>
      </c>
      <c r="C50" s="2">
        <v>-1.23</v>
      </c>
      <c r="D50" s="2">
        <v>-1.18</v>
      </c>
    </row>
    <row r="51" spans="1:4" x14ac:dyDescent="0.2">
      <c r="A51" t="s">
        <v>477</v>
      </c>
      <c r="B51" s="2">
        <v>-1.21</v>
      </c>
      <c r="C51" s="2">
        <v>-1.2</v>
      </c>
      <c r="D51" s="2">
        <v>-1.25</v>
      </c>
    </row>
    <row r="52" spans="1:4" x14ac:dyDescent="0.2">
      <c r="A52" t="s">
        <v>478</v>
      </c>
      <c r="B52" s="2">
        <v>-1.26</v>
      </c>
      <c r="C52" s="2">
        <v>-1.28</v>
      </c>
      <c r="D52" s="2">
        <v>-1.3</v>
      </c>
    </row>
    <row r="53" spans="1:4" x14ac:dyDescent="0.2">
      <c r="A53" t="s">
        <v>479</v>
      </c>
      <c r="B53" s="2">
        <v>-1.28</v>
      </c>
      <c r="C53" s="2" t="s">
        <v>395</v>
      </c>
      <c r="D53" s="2">
        <v>-1.28</v>
      </c>
    </row>
    <row r="54" spans="1:4" x14ac:dyDescent="0.2">
      <c r="A54" t="s">
        <v>480</v>
      </c>
      <c r="B54" s="2">
        <v>-1.33</v>
      </c>
      <c r="C54" s="2" t="s">
        <v>395</v>
      </c>
      <c r="D54" s="2">
        <v>-1.24</v>
      </c>
    </row>
    <row r="55" spans="1:4" x14ac:dyDescent="0.2">
      <c r="A55" t="s">
        <v>481</v>
      </c>
      <c r="B55" s="2">
        <v>-1.36</v>
      </c>
      <c r="C55" s="2" t="s">
        <v>395</v>
      </c>
      <c r="D55" s="2">
        <v>-1.39</v>
      </c>
    </row>
    <row r="56" spans="1:4" x14ac:dyDescent="0.2">
      <c r="A56" t="s">
        <v>482</v>
      </c>
      <c r="B56" s="2">
        <v>-1.23</v>
      </c>
      <c r="C56" s="2">
        <v>-1.24</v>
      </c>
      <c r="D56" s="2">
        <v>-1.26</v>
      </c>
    </row>
    <row r="57" spans="1:4" x14ac:dyDescent="0.2">
      <c r="A57" t="s">
        <v>483</v>
      </c>
      <c r="B57" s="2">
        <v>-1.26</v>
      </c>
      <c r="C57" s="2">
        <v>-1.26</v>
      </c>
      <c r="D57" s="2">
        <v>-1.31</v>
      </c>
    </row>
    <row r="58" spans="1:4" x14ac:dyDescent="0.2">
      <c r="A58" t="s">
        <v>484</v>
      </c>
      <c r="B58" s="2">
        <v>-1.31</v>
      </c>
      <c r="C58" s="2">
        <v>-1.3</v>
      </c>
      <c r="D58" s="2">
        <v>-1.34</v>
      </c>
    </row>
    <row r="59" spans="1:4" x14ac:dyDescent="0.2">
      <c r="A59" t="s">
        <v>485</v>
      </c>
      <c r="B59" s="2" t="s">
        <v>395</v>
      </c>
      <c r="C59" s="2">
        <v>-1.23</v>
      </c>
      <c r="D59" s="2">
        <v>-1.31</v>
      </c>
    </row>
    <row r="60" spans="1:4" x14ac:dyDescent="0.2">
      <c r="A60" t="s">
        <v>486</v>
      </c>
      <c r="B60" s="2" t="s">
        <v>395</v>
      </c>
      <c r="C60" s="2">
        <v>-1.29</v>
      </c>
      <c r="D60" s="2">
        <v>-1.35</v>
      </c>
    </row>
    <row r="61" spans="1:4" x14ac:dyDescent="0.2">
      <c r="A61" t="s">
        <v>487</v>
      </c>
      <c r="B61" s="2" t="s">
        <v>395</v>
      </c>
      <c r="C61" s="2">
        <v>-1.24</v>
      </c>
      <c r="D61" s="2"/>
    </row>
    <row r="62" spans="1:4" x14ac:dyDescent="0.2">
      <c r="A62" t="s">
        <v>488</v>
      </c>
      <c r="B62" s="2">
        <v>-1.24</v>
      </c>
      <c r="C62" s="2">
        <v>-1.27</v>
      </c>
      <c r="D62" s="2">
        <v>-1.28</v>
      </c>
    </row>
    <row r="63" spans="1:4" x14ac:dyDescent="0.2">
      <c r="A63" t="s">
        <v>489</v>
      </c>
      <c r="B63" s="2">
        <v>-1.27</v>
      </c>
      <c r="C63" s="2">
        <v>-1.27</v>
      </c>
      <c r="D63" s="2">
        <v>-1.33</v>
      </c>
    </row>
    <row r="64" spans="1:4" x14ac:dyDescent="0.2">
      <c r="A64" t="s">
        <v>490</v>
      </c>
      <c r="B64" s="2">
        <v>-1.27</v>
      </c>
      <c r="C64" s="2">
        <v>-1.32</v>
      </c>
      <c r="D64" s="2">
        <v>-1.39</v>
      </c>
    </row>
    <row r="65" spans="1:4" x14ac:dyDescent="0.2">
      <c r="A65" t="s">
        <v>491</v>
      </c>
      <c r="B65" s="2">
        <v>-1.27</v>
      </c>
      <c r="C65" s="2">
        <v>-1.25</v>
      </c>
      <c r="D65" s="2">
        <v>-1.35</v>
      </c>
    </row>
    <row r="66" spans="1:4" x14ac:dyDescent="0.2">
      <c r="A66" t="s">
        <v>492</v>
      </c>
      <c r="B66" s="2">
        <v>-1.28</v>
      </c>
      <c r="C66" s="2">
        <v>-1.23</v>
      </c>
      <c r="D66" s="2">
        <v>-1.35</v>
      </c>
    </row>
    <row r="67" spans="1:4" x14ac:dyDescent="0.2">
      <c r="A67" t="s">
        <v>493</v>
      </c>
      <c r="B67" s="2">
        <v>-1.3</v>
      </c>
      <c r="C67" s="2">
        <v>-1.19</v>
      </c>
      <c r="D67" s="2">
        <v>-1.32</v>
      </c>
    </row>
    <row r="68" spans="1:4" x14ac:dyDescent="0.2">
      <c r="A68" t="s">
        <v>494</v>
      </c>
      <c r="B68" s="2">
        <v>-0.46</v>
      </c>
      <c r="C68" s="2">
        <v>-0.49</v>
      </c>
      <c r="D68" s="2" t="s">
        <v>395</v>
      </c>
    </row>
    <row r="69" spans="1:4" x14ac:dyDescent="0.2">
      <c r="A69" t="s">
        <v>495</v>
      </c>
      <c r="B69" s="2">
        <v>-0.48</v>
      </c>
      <c r="C69" s="2">
        <v>-0.47</v>
      </c>
      <c r="D69" s="2" t="s">
        <v>395</v>
      </c>
    </row>
    <row r="70" spans="1:4" x14ac:dyDescent="0.2">
      <c r="A70" t="s">
        <v>496</v>
      </c>
      <c r="B70" s="2">
        <v>-0.47</v>
      </c>
      <c r="C70" s="2">
        <v>-0.48</v>
      </c>
      <c r="D70" s="2" t="s">
        <v>395</v>
      </c>
    </row>
    <row r="71" spans="1:4" x14ac:dyDescent="0.2">
      <c r="A71" t="s">
        <v>497</v>
      </c>
      <c r="B71" s="2">
        <v>-1.31</v>
      </c>
      <c r="C71" s="2">
        <v>-1.1499999999999999</v>
      </c>
      <c r="D71" s="2">
        <v>-1.4</v>
      </c>
    </row>
    <row r="72" spans="1:4" x14ac:dyDescent="0.2">
      <c r="A72" t="s">
        <v>498</v>
      </c>
      <c r="B72" s="2">
        <v>-1.34</v>
      </c>
      <c r="C72" s="2">
        <v>-1.1499999999999999</v>
      </c>
      <c r="D72" s="2">
        <v>-1.4</v>
      </c>
    </row>
    <row r="73" spans="1:4" x14ac:dyDescent="0.2">
      <c r="A73" t="s">
        <v>499</v>
      </c>
      <c r="B73" s="2">
        <v>-1.32</v>
      </c>
      <c r="C73" s="2">
        <v>-1.1299999999999999</v>
      </c>
      <c r="D73" s="2">
        <v>-1.43</v>
      </c>
    </row>
    <row r="74" spans="1:4" x14ac:dyDescent="0.2">
      <c r="A74" t="s">
        <v>500</v>
      </c>
      <c r="B74" s="2">
        <v>-1.34</v>
      </c>
      <c r="C74" s="2">
        <v>-1.42</v>
      </c>
      <c r="D74" s="2">
        <v>-1.41</v>
      </c>
    </row>
    <row r="75" spans="1:4" x14ac:dyDescent="0.2">
      <c r="A75" t="s">
        <v>501</v>
      </c>
      <c r="B75" s="2">
        <v>-1.32</v>
      </c>
      <c r="C75" s="2">
        <v>-1.44</v>
      </c>
      <c r="D75" s="2">
        <v>-1.42</v>
      </c>
    </row>
    <row r="76" spans="1:4" x14ac:dyDescent="0.2">
      <c r="A76" t="s">
        <v>502</v>
      </c>
      <c r="B76" s="2">
        <v>-1.36</v>
      </c>
      <c r="C76" s="2">
        <v>-1.44</v>
      </c>
      <c r="D76" s="2">
        <v>-1.35</v>
      </c>
    </row>
    <row r="77" spans="1:4" x14ac:dyDescent="0.2">
      <c r="A77" t="s">
        <v>503</v>
      </c>
      <c r="B77" s="2">
        <v>-1.34</v>
      </c>
      <c r="C77" s="2">
        <v>-1.24</v>
      </c>
      <c r="D77" s="2">
        <v>-1.33</v>
      </c>
    </row>
    <row r="78" spans="1:4" x14ac:dyDescent="0.2">
      <c r="A78" t="s">
        <v>504</v>
      </c>
      <c r="B78" s="2">
        <v>-1.33</v>
      </c>
      <c r="C78" s="2">
        <v>-1.24</v>
      </c>
      <c r="D78" s="2">
        <v>-1.37</v>
      </c>
    </row>
    <row r="79" spans="1:4" x14ac:dyDescent="0.2">
      <c r="A79" t="s">
        <v>505</v>
      </c>
      <c r="B79" s="2">
        <v>-1.33</v>
      </c>
      <c r="C79" s="2">
        <v>-1.27</v>
      </c>
      <c r="D79" s="2">
        <v>-1.45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activeCell="G39" sqref="G39"/>
    </sheetView>
  </sheetViews>
  <sheetFormatPr baseColWidth="10" defaultRowHeight="15" x14ac:dyDescent="0.2"/>
  <cols>
    <col min="1" max="1" width="30" customWidth="1"/>
  </cols>
  <sheetData>
    <row r="1" spans="1:4" x14ac:dyDescent="0.2">
      <c r="A1" t="s">
        <v>387</v>
      </c>
      <c r="B1" s="2" t="s">
        <v>388</v>
      </c>
      <c r="C1" s="2" t="s">
        <v>389</v>
      </c>
      <c r="D1" s="2" t="s">
        <v>390</v>
      </c>
    </row>
    <row r="2" spans="1:4" x14ac:dyDescent="0.2">
      <c r="A2" t="s">
        <v>506</v>
      </c>
      <c r="B2">
        <v>-0.33000000000000007</v>
      </c>
      <c r="C2">
        <v>-0.25</v>
      </c>
      <c r="D2">
        <v>-0.27000000000000046</v>
      </c>
    </row>
    <row r="3" spans="1:4" x14ac:dyDescent="0.2">
      <c r="A3" t="s">
        <v>507</v>
      </c>
      <c r="B3">
        <v>-0.3199999999999994</v>
      </c>
      <c r="C3">
        <v>-0.25999999999999979</v>
      </c>
      <c r="D3">
        <v>-0.29000000000000004</v>
      </c>
    </row>
    <row r="4" spans="1:4" x14ac:dyDescent="0.2">
      <c r="A4" t="s">
        <v>508</v>
      </c>
      <c r="B4">
        <v>-0.30999999999999961</v>
      </c>
      <c r="C4">
        <v>-0.25999999999999979</v>
      </c>
      <c r="D4">
        <v>-0.30000000000000071</v>
      </c>
    </row>
    <row r="5" spans="1:4" x14ac:dyDescent="0.2">
      <c r="A5" t="s">
        <v>509</v>
      </c>
      <c r="B5">
        <v>-0.29000000000000004</v>
      </c>
      <c r="C5">
        <v>-0.25999999999999979</v>
      </c>
      <c r="D5">
        <v>-0.27000000000000046</v>
      </c>
    </row>
    <row r="6" spans="1:4" x14ac:dyDescent="0.2">
      <c r="A6" t="s">
        <v>510</v>
      </c>
      <c r="B6">
        <v>-0.34999999999999964</v>
      </c>
      <c r="C6">
        <v>-0.28000000000000025</v>
      </c>
      <c r="D6">
        <v>-0.29000000000000004</v>
      </c>
    </row>
    <row r="7" spans="1:4" x14ac:dyDescent="0.2">
      <c r="A7" t="s">
        <v>511</v>
      </c>
      <c r="B7">
        <v>-0.34999999999999964</v>
      </c>
      <c r="C7">
        <v>-0.28000000000000025</v>
      </c>
      <c r="D7">
        <v>-0.29000000000000004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"/>
  <sheetViews>
    <sheetView workbookViewId="0">
      <selection activeCell="G44" sqref="G44"/>
    </sheetView>
  </sheetViews>
  <sheetFormatPr baseColWidth="10" defaultRowHeight="15" x14ac:dyDescent="0.2"/>
  <cols>
    <col min="1" max="1" width="28.1640625" customWidth="1"/>
  </cols>
  <sheetData>
    <row r="1" spans="1:4" x14ac:dyDescent="0.2">
      <c r="A1" t="s">
        <v>387</v>
      </c>
      <c r="B1" s="2" t="s">
        <v>388</v>
      </c>
      <c r="C1" s="2" t="s">
        <v>389</v>
      </c>
      <c r="D1" s="2" t="s">
        <v>390</v>
      </c>
    </row>
    <row r="2" spans="1:4" x14ac:dyDescent="0.2">
      <c r="A2" t="s">
        <v>391</v>
      </c>
      <c r="B2" s="2">
        <v>-0.70433333333333348</v>
      </c>
      <c r="C2" s="2">
        <v>-0.8227499999999992</v>
      </c>
      <c r="D2" s="2">
        <v>-0.72999999999999954</v>
      </c>
    </row>
    <row r="3" spans="1:4" x14ac:dyDescent="0.2">
      <c r="A3" t="s">
        <v>392</v>
      </c>
      <c r="B3" s="2">
        <v>-0.65133333333333354</v>
      </c>
      <c r="C3" s="2">
        <v>-0.79174999999999951</v>
      </c>
      <c r="D3" s="2">
        <v>-0.71999999999999975</v>
      </c>
    </row>
    <row r="4" spans="1:4" x14ac:dyDescent="0.2">
      <c r="A4" t="s">
        <v>393</v>
      </c>
      <c r="B4" s="2">
        <v>-0.71333333333333293</v>
      </c>
      <c r="C4" s="2">
        <v>-0.8227499999999992</v>
      </c>
      <c r="D4" s="2">
        <v>-0.72999999999999954</v>
      </c>
    </row>
    <row r="5" spans="1:4" x14ac:dyDescent="0.2">
      <c r="A5" t="s">
        <v>394</v>
      </c>
      <c r="B5" s="2">
        <v>-0.1033333333333335</v>
      </c>
      <c r="C5" s="2">
        <v>-4.9749999999999517E-2</v>
      </c>
      <c r="D5" s="2" t="s">
        <v>395</v>
      </c>
    </row>
    <row r="6" spans="1:4" x14ac:dyDescent="0.2">
      <c r="A6" t="s">
        <v>396</v>
      </c>
      <c r="B6" s="2">
        <v>-0.10933333333333284</v>
      </c>
      <c r="C6" s="2">
        <v>-2.0749999999999602E-2</v>
      </c>
      <c r="D6" s="2" t="s">
        <v>395</v>
      </c>
    </row>
    <row r="7" spans="1:4" x14ac:dyDescent="0.2">
      <c r="A7" t="s">
        <v>397</v>
      </c>
      <c r="B7" s="2">
        <v>-2.133333333333276E-2</v>
      </c>
      <c r="C7" s="2">
        <v>-8.6749999999999439E-2</v>
      </c>
      <c r="D7" s="2" t="s">
        <v>395</v>
      </c>
    </row>
    <row r="8" spans="1:4" x14ac:dyDescent="0.2">
      <c r="A8" t="s">
        <v>398</v>
      </c>
      <c r="B8" s="2">
        <v>2.1666666666666501E-2</v>
      </c>
      <c r="C8" s="2">
        <v>-6.7749999999999311E-2</v>
      </c>
      <c r="D8" s="2">
        <v>-1.9999999999999574E-2</v>
      </c>
    </row>
    <row r="9" spans="1:4" x14ac:dyDescent="0.2">
      <c r="A9" t="s">
        <v>399</v>
      </c>
      <c r="B9" s="2">
        <v>2.0666666666667055E-2</v>
      </c>
      <c r="C9" s="2">
        <v>-7.3749999999999538E-2</v>
      </c>
      <c r="D9" s="2">
        <v>-9.9999999999997868E-3</v>
      </c>
    </row>
    <row r="10" spans="1:4" x14ac:dyDescent="0.2">
      <c r="A10" t="s">
        <v>400</v>
      </c>
      <c r="B10" s="2">
        <v>1.5666666666667162E-2</v>
      </c>
      <c r="C10" s="2">
        <v>-8.1749999999999545E-2</v>
      </c>
      <c r="D10" s="2">
        <v>-9.9999999999997868E-3</v>
      </c>
    </row>
    <row r="11" spans="1:4" x14ac:dyDescent="0.2">
      <c r="A11" t="s">
        <v>401</v>
      </c>
      <c r="B11" s="2">
        <v>-0.82333333333333325</v>
      </c>
      <c r="C11" s="2">
        <v>-0.96274999999999977</v>
      </c>
      <c r="D11" s="2">
        <v>-0.82600000000000051</v>
      </c>
    </row>
    <row r="12" spans="1:4" x14ac:dyDescent="0.2">
      <c r="A12" t="s">
        <v>402</v>
      </c>
      <c r="B12" s="2">
        <v>-0.82533333333333303</v>
      </c>
      <c r="C12" s="2">
        <v>-0.96574999999999989</v>
      </c>
      <c r="D12" s="2">
        <v>-0.82600000000000051</v>
      </c>
    </row>
    <row r="13" spans="1:4" x14ac:dyDescent="0.2">
      <c r="A13" t="s">
        <v>403</v>
      </c>
      <c r="B13" s="2">
        <v>-0.82833333333333314</v>
      </c>
      <c r="C13" s="2">
        <v>-0.97474999999999934</v>
      </c>
      <c r="D13" s="2">
        <v>-0.82600000000000051</v>
      </c>
    </row>
    <row r="14" spans="1:4" x14ac:dyDescent="0.2">
      <c r="A14" t="s">
        <v>404</v>
      </c>
      <c r="B14" s="2">
        <v>-5.9750000000000192E-2</v>
      </c>
      <c r="C14" s="2">
        <v>-0.16799999999999926</v>
      </c>
      <c r="D14" s="2">
        <v>-0.16000000000000014</v>
      </c>
    </row>
    <row r="15" spans="1:4" x14ac:dyDescent="0.2">
      <c r="A15" t="s">
        <v>405</v>
      </c>
      <c r="B15" s="2">
        <v>-7.7749999999999986E-2</v>
      </c>
      <c r="C15" s="2">
        <v>-0.15499999999999936</v>
      </c>
      <c r="D15" s="2">
        <v>-0.13999999999999968</v>
      </c>
    </row>
    <row r="16" spans="1:4" x14ac:dyDescent="0.2">
      <c r="A16" t="s">
        <v>406</v>
      </c>
      <c r="B16" s="2">
        <v>-6.4750000000000085E-2</v>
      </c>
      <c r="C16" s="2">
        <v>-0.15599999999999969</v>
      </c>
      <c r="D16" s="2">
        <v>-0.14999999999999947</v>
      </c>
    </row>
    <row r="17" spans="1:4" x14ac:dyDescent="0.2">
      <c r="A17" t="s">
        <v>407</v>
      </c>
      <c r="B17" s="2">
        <v>-0.17275000000000063</v>
      </c>
      <c r="C17" s="2">
        <v>-0.23699999999999921</v>
      </c>
      <c r="D17" s="2">
        <v>-0.13999999999999968</v>
      </c>
    </row>
    <row r="18" spans="1:4" x14ac:dyDescent="0.2">
      <c r="A18" t="s">
        <v>408</v>
      </c>
      <c r="B18" s="2">
        <v>-0.15174999999999983</v>
      </c>
      <c r="C18" s="2">
        <v>-0.24499999999999922</v>
      </c>
      <c r="D18" s="2">
        <v>-0.13999999999999968</v>
      </c>
    </row>
    <row r="19" spans="1:4" x14ac:dyDescent="0.2">
      <c r="A19" t="s">
        <v>409</v>
      </c>
      <c r="B19" s="2">
        <v>-0.16274999999999995</v>
      </c>
      <c r="C19" s="2">
        <v>-0.24799999999999933</v>
      </c>
      <c r="D19" s="2">
        <v>-0.13999999999999968</v>
      </c>
    </row>
    <row r="20" spans="1:4" x14ac:dyDescent="0.2">
      <c r="A20" t="s">
        <v>410</v>
      </c>
      <c r="B20" s="2">
        <v>-0.1407500000000006</v>
      </c>
      <c r="C20" s="2">
        <v>-0.24399999999999977</v>
      </c>
      <c r="D20" s="2">
        <v>-0.13999999999999968</v>
      </c>
    </row>
    <row r="21" spans="1:4" x14ac:dyDescent="0.2">
      <c r="A21" t="s">
        <v>411</v>
      </c>
      <c r="B21" s="2">
        <v>-0.14275000000000038</v>
      </c>
      <c r="C21" s="2">
        <v>-0.22799999999999976</v>
      </c>
      <c r="D21" s="2">
        <v>-0.13999999999999968</v>
      </c>
    </row>
    <row r="22" spans="1:4" x14ac:dyDescent="0.2">
      <c r="A22" t="s">
        <v>412</v>
      </c>
      <c r="B22" s="2">
        <v>-0.1537500000000005</v>
      </c>
      <c r="C22" s="2">
        <v>-0.23499999999999943</v>
      </c>
      <c r="D22" s="2">
        <v>-0.14999999999999947</v>
      </c>
    </row>
    <row r="23" spans="1:4" x14ac:dyDescent="0.2">
      <c r="A23" t="s">
        <v>413</v>
      </c>
      <c r="B23" s="2">
        <v>-0.22975000000000012</v>
      </c>
      <c r="C23" s="2">
        <v>-0.30399999999999938</v>
      </c>
      <c r="D23" s="2">
        <v>-0.16999999999999993</v>
      </c>
    </row>
    <row r="24" spans="1:4" x14ac:dyDescent="0.2">
      <c r="A24" t="s">
        <v>414</v>
      </c>
      <c r="B24" s="2">
        <v>-0.21675000000000022</v>
      </c>
      <c r="C24" s="2">
        <v>-0.2759999999999998</v>
      </c>
      <c r="D24" s="2">
        <v>-0.16999999999999993</v>
      </c>
    </row>
    <row r="25" spans="1:4" x14ac:dyDescent="0.2">
      <c r="A25" t="s">
        <v>415</v>
      </c>
      <c r="B25" s="2">
        <v>-0.21975000000000033</v>
      </c>
      <c r="C25" s="2">
        <v>-0.26999999999999957</v>
      </c>
      <c r="D25" s="2">
        <v>-0.19000000000000039</v>
      </c>
    </row>
    <row r="26" spans="1:4" x14ac:dyDescent="0.2">
      <c r="A26" t="s">
        <v>416</v>
      </c>
      <c r="B26" s="2">
        <v>-0.44700000000000006</v>
      </c>
      <c r="C26" s="2">
        <v>-0.70349999999999913</v>
      </c>
      <c r="D26" s="2">
        <v>-0.84666666666666579</v>
      </c>
    </row>
    <row r="27" spans="1:4" x14ac:dyDescent="0.2">
      <c r="A27" t="s">
        <v>417</v>
      </c>
      <c r="B27" s="2">
        <v>-0.44799999999999951</v>
      </c>
      <c r="C27" s="2">
        <v>-0.61049999999999915</v>
      </c>
      <c r="D27" s="2">
        <v>-0.82666666666666622</v>
      </c>
    </row>
    <row r="28" spans="1:4" x14ac:dyDescent="0.2">
      <c r="A28" t="s">
        <v>418</v>
      </c>
      <c r="B28" s="2">
        <v>-0.44399999999999995</v>
      </c>
      <c r="C28" s="2">
        <v>-0.5724999999999989</v>
      </c>
      <c r="D28" s="2">
        <v>-0.82666666666666622</v>
      </c>
    </row>
    <row r="29" spans="1:4" x14ac:dyDescent="0.2">
      <c r="A29" t="s">
        <v>419</v>
      </c>
      <c r="B29" s="2">
        <v>-0.57599999999999962</v>
      </c>
      <c r="C29" s="2">
        <v>-0.58649999999999913</v>
      </c>
      <c r="D29" s="2">
        <v>-0.87666666666666604</v>
      </c>
    </row>
    <row r="30" spans="1:4" x14ac:dyDescent="0.2">
      <c r="A30" t="s">
        <v>420</v>
      </c>
      <c r="B30" s="2">
        <v>-0.55600000000000005</v>
      </c>
      <c r="C30" s="2">
        <v>-0.56449999999999889</v>
      </c>
      <c r="D30" s="2">
        <v>-0.84666666666666579</v>
      </c>
    </row>
    <row r="31" spans="1:4" x14ac:dyDescent="0.2">
      <c r="A31" t="s">
        <v>421</v>
      </c>
      <c r="B31" s="2">
        <v>-0.53399999999999981</v>
      </c>
      <c r="C31" s="2">
        <v>-0.4764999999999997</v>
      </c>
      <c r="D31" s="2">
        <v>-1.0166666666666666</v>
      </c>
    </row>
    <row r="32" spans="1:4" x14ac:dyDescent="0.2">
      <c r="A32" t="s">
        <v>422</v>
      </c>
      <c r="B32" s="2">
        <v>-0.43900000000000006</v>
      </c>
      <c r="C32" s="2">
        <v>-0.4164999999999992</v>
      </c>
      <c r="D32" s="2">
        <v>-1.0266666666666664</v>
      </c>
    </row>
    <row r="33" spans="1:4" x14ac:dyDescent="0.2">
      <c r="A33" t="s">
        <v>423</v>
      </c>
      <c r="B33" s="2">
        <v>-0.41500000000000004</v>
      </c>
      <c r="C33" s="2">
        <v>-0.35549999999999926</v>
      </c>
      <c r="D33" s="2">
        <v>-1.0366666666666662</v>
      </c>
    </row>
    <row r="34" spans="1:4" x14ac:dyDescent="0.2">
      <c r="A34" t="s">
        <v>424</v>
      </c>
      <c r="B34" s="2">
        <v>-0.42300000000000004</v>
      </c>
      <c r="C34" s="2">
        <v>-0.33849999999999891</v>
      </c>
      <c r="D34" s="2">
        <v>-1.0266666666666664</v>
      </c>
    </row>
    <row r="35" spans="1:4" x14ac:dyDescent="0.2">
      <c r="A35" t="s">
        <v>425</v>
      </c>
      <c r="B35" s="2">
        <v>-0.72199999999999953</v>
      </c>
      <c r="C35" s="2">
        <v>-0.8954999999999993</v>
      </c>
      <c r="D35" s="2">
        <v>-0.94500000000000028</v>
      </c>
    </row>
    <row r="36" spans="1:4" x14ac:dyDescent="0.2">
      <c r="A36" t="s">
        <v>426</v>
      </c>
      <c r="B36" s="2">
        <v>-0.67900000000000027</v>
      </c>
      <c r="C36" s="2">
        <v>-0.85349999999999948</v>
      </c>
      <c r="D36" s="2">
        <v>-0.94500000000000028</v>
      </c>
    </row>
    <row r="37" spans="1:4" x14ac:dyDescent="0.2">
      <c r="A37" t="s">
        <v>427</v>
      </c>
      <c r="B37" s="2">
        <v>-0.63400000000000034</v>
      </c>
      <c r="C37" s="2">
        <v>-0.84149999999999903</v>
      </c>
      <c r="D37" s="2">
        <v>-0.9350000000000005</v>
      </c>
    </row>
    <row r="38" spans="1:4" x14ac:dyDescent="0.2">
      <c r="A38" t="s">
        <v>391</v>
      </c>
      <c r="B38" s="2">
        <v>-0.70433333333333348</v>
      </c>
      <c r="C38" s="2">
        <v>-0.8227499999999992</v>
      </c>
      <c r="D38" s="2">
        <v>-0.72999999999999954</v>
      </c>
    </row>
    <row r="39" spans="1:4" x14ac:dyDescent="0.2">
      <c r="A39" t="s">
        <v>392</v>
      </c>
      <c r="B39" s="2">
        <v>-0.65133333333333354</v>
      </c>
      <c r="C39" s="2">
        <v>-0.79174999999999951</v>
      </c>
      <c r="D39" s="2">
        <v>-0.71999999999999975</v>
      </c>
    </row>
    <row r="40" spans="1:4" x14ac:dyDescent="0.2">
      <c r="A40" t="s">
        <v>393</v>
      </c>
      <c r="B40" s="2">
        <v>-0.71333333333333293</v>
      </c>
      <c r="C40" s="2">
        <v>-0.8227499999999992</v>
      </c>
      <c r="D40" s="2">
        <v>-0.72999999999999954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6A37-6EBE-634F-B820-10D523F171AD}">
  <dimension ref="A1:R93"/>
  <sheetViews>
    <sheetView workbookViewId="0">
      <selection activeCell="D91" sqref="D91"/>
    </sheetView>
  </sheetViews>
  <sheetFormatPr baseColWidth="10" defaultColWidth="8.83203125" defaultRowHeight="15" x14ac:dyDescent="0.2"/>
  <cols>
    <col min="1" max="1" width="30.5" customWidth="1"/>
  </cols>
  <sheetData>
    <row r="1" spans="1:18" s="39" customFormat="1" ht="48" x14ac:dyDescent="0.2">
      <c r="B1" s="45" t="s">
        <v>1010</v>
      </c>
      <c r="C1" s="45" t="s">
        <v>1011</v>
      </c>
      <c r="D1" s="45" t="s">
        <v>1012</v>
      </c>
      <c r="E1" s="45" t="s">
        <v>1013</v>
      </c>
      <c r="F1" s="45" t="s">
        <v>1014</v>
      </c>
      <c r="G1" s="45" t="s">
        <v>1015</v>
      </c>
      <c r="H1" s="45" t="s">
        <v>1016</v>
      </c>
      <c r="I1" s="45" t="s">
        <v>1017</v>
      </c>
      <c r="J1" s="45" t="s">
        <v>1018</v>
      </c>
      <c r="K1" s="45" t="s">
        <v>1019</v>
      </c>
      <c r="L1" s="45" t="s">
        <v>1020</v>
      </c>
      <c r="M1" s="45" t="s">
        <v>1021</v>
      </c>
      <c r="N1" s="45" t="s">
        <v>1022</v>
      </c>
      <c r="O1" s="45" t="s">
        <v>1023</v>
      </c>
      <c r="P1" s="45" t="s">
        <v>1024</v>
      </c>
      <c r="Q1" s="45" t="s">
        <v>1025</v>
      </c>
      <c r="R1" s="45" t="s">
        <v>1026</v>
      </c>
    </row>
    <row r="2" spans="1:18" x14ac:dyDescent="0.2">
      <c r="A2" t="s">
        <v>1028</v>
      </c>
      <c r="B2" s="1">
        <v>167200</v>
      </c>
      <c r="C2" s="1">
        <v>34030000</v>
      </c>
      <c r="D2" s="46">
        <v>10880000</v>
      </c>
      <c r="E2" s="1">
        <v>2558000</v>
      </c>
      <c r="F2" s="1">
        <v>1396000</v>
      </c>
      <c r="G2" s="1">
        <v>4545000</v>
      </c>
      <c r="H2" s="1">
        <v>10920000</v>
      </c>
      <c r="I2" s="1">
        <v>324300</v>
      </c>
      <c r="J2" s="1">
        <v>6292000</v>
      </c>
      <c r="K2" s="1">
        <v>495800</v>
      </c>
      <c r="L2" s="1">
        <v>261700</v>
      </c>
      <c r="M2" s="1">
        <v>2182000</v>
      </c>
      <c r="N2" s="1">
        <v>2520000</v>
      </c>
      <c r="O2" s="1">
        <v>41210</v>
      </c>
      <c r="P2" s="1">
        <v>617900</v>
      </c>
      <c r="Q2" s="1">
        <v>403500</v>
      </c>
      <c r="R2" s="1">
        <v>536100</v>
      </c>
    </row>
    <row r="3" spans="1:18" x14ac:dyDescent="0.2">
      <c r="A3" t="s">
        <v>1029</v>
      </c>
      <c r="B3" s="1">
        <v>177100</v>
      </c>
      <c r="C3" s="1">
        <v>27840000</v>
      </c>
      <c r="D3" s="46">
        <v>9845000</v>
      </c>
      <c r="E3" s="1">
        <v>2531000</v>
      </c>
      <c r="F3" s="1">
        <v>1140000</v>
      </c>
      <c r="G3" s="1">
        <v>4515000</v>
      </c>
      <c r="H3" s="1">
        <v>9876000</v>
      </c>
      <c r="I3" s="1">
        <v>240800</v>
      </c>
      <c r="J3" s="1">
        <v>6183000</v>
      </c>
      <c r="K3" s="1">
        <v>417100</v>
      </c>
      <c r="L3" s="1">
        <v>251900</v>
      </c>
      <c r="M3" s="1">
        <v>1936000</v>
      </c>
      <c r="N3" s="1">
        <v>2543000</v>
      </c>
      <c r="O3" s="1">
        <v>41850</v>
      </c>
      <c r="P3" s="1">
        <v>594300</v>
      </c>
      <c r="Q3" s="1">
        <v>322400</v>
      </c>
      <c r="R3" s="1">
        <v>441100</v>
      </c>
    </row>
    <row r="4" spans="1:18" x14ac:dyDescent="0.2">
      <c r="A4" t="s">
        <v>1030</v>
      </c>
      <c r="B4" s="1">
        <v>294000</v>
      </c>
      <c r="C4" s="1">
        <v>99100000</v>
      </c>
      <c r="D4" s="46">
        <v>22770000</v>
      </c>
      <c r="E4" s="1">
        <v>4129000</v>
      </c>
      <c r="F4" s="1">
        <v>1590000</v>
      </c>
      <c r="G4" s="1">
        <v>4440000</v>
      </c>
      <c r="H4" s="1">
        <v>22820000</v>
      </c>
      <c r="I4" s="1">
        <v>477300</v>
      </c>
      <c r="J4" s="1">
        <v>7228000</v>
      </c>
      <c r="K4" s="1">
        <v>1019000</v>
      </c>
      <c r="L4" s="1">
        <v>546900</v>
      </c>
      <c r="M4" s="1">
        <v>1258000</v>
      </c>
      <c r="N4" s="1">
        <v>2114000</v>
      </c>
      <c r="O4" s="1">
        <v>71670</v>
      </c>
      <c r="P4" s="1">
        <v>1167000</v>
      </c>
      <c r="Q4" s="1">
        <v>508200</v>
      </c>
      <c r="R4" s="1">
        <v>759600</v>
      </c>
    </row>
    <row r="5" spans="1:18" x14ac:dyDescent="0.2">
      <c r="A5" t="s">
        <v>1031</v>
      </c>
      <c r="B5" s="1">
        <v>193500</v>
      </c>
      <c r="C5" s="1">
        <v>38330000</v>
      </c>
      <c r="D5" s="46">
        <v>8507000</v>
      </c>
      <c r="E5" s="1">
        <v>3247000</v>
      </c>
      <c r="F5" s="1">
        <v>1232000</v>
      </c>
      <c r="G5" s="1">
        <v>4721000</v>
      </c>
      <c r="H5" s="1">
        <v>8551000</v>
      </c>
      <c r="I5" s="1">
        <v>204400</v>
      </c>
      <c r="J5" s="1">
        <v>6506000</v>
      </c>
      <c r="K5" s="1">
        <v>804400</v>
      </c>
      <c r="L5" s="1">
        <v>282300</v>
      </c>
      <c r="M5" s="1">
        <v>1927000</v>
      </c>
      <c r="N5" s="1">
        <v>4149000</v>
      </c>
      <c r="O5" s="1">
        <v>47330</v>
      </c>
      <c r="P5" s="1">
        <v>528700</v>
      </c>
      <c r="Q5" s="1">
        <v>523200</v>
      </c>
      <c r="R5" s="1">
        <v>576100</v>
      </c>
    </row>
    <row r="6" spans="1:18" x14ac:dyDescent="0.2">
      <c r="A6" t="s">
        <v>1032</v>
      </c>
      <c r="B6" s="1">
        <v>191100</v>
      </c>
      <c r="C6" s="1">
        <v>39720000</v>
      </c>
      <c r="D6" s="46">
        <v>9224000</v>
      </c>
      <c r="E6" s="1">
        <v>3453000</v>
      </c>
      <c r="F6" s="1">
        <v>1397000</v>
      </c>
      <c r="G6" s="1">
        <v>4016000</v>
      </c>
      <c r="H6" s="1">
        <v>9283000</v>
      </c>
      <c r="I6" s="1">
        <v>206600</v>
      </c>
      <c r="J6" s="1">
        <v>6830000</v>
      </c>
      <c r="K6" s="1">
        <v>720500</v>
      </c>
      <c r="L6" s="1">
        <v>273900</v>
      </c>
      <c r="M6" s="1">
        <v>1922000</v>
      </c>
      <c r="N6" s="1">
        <v>2925000</v>
      </c>
      <c r="O6" s="1">
        <v>47870</v>
      </c>
      <c r="P6" s="1">
        <v>473500</v>
      </c>
      <c r="Q6" s="1">
        <v>562800</v>
      </c>
      <c r="R6" s="1">
        <v>633900</v>
      </c>
    </row>
    <row r="7" spans="1:18" x14ac:dyDescent="0.2">
      <c r="A7" t="s">
        <v>1033</v>
      </c>
      <c r="B7" s="1">
        <v>331700</v>
      </c>
      <c r="C7" s="1">
        <v>73430000</v>
      </c>
      <c r="D7" s="46">
        <v>19070000</v>
      </c>
      <c r="E7" s="1">
        <v>3715000</v>
      </c>
      <c r="F7" s="1">
        <v>1421000</v>
      </c>
      <c r="G7" s="1">
        <v>3504000</v>
      </c>
      <c r="H7" s="1">
        <v>19120000</v>
      </c>
      <c r="I7" s="1">
        <v>339600</v>
      </c>
      <c r="J7" s="1">
        <v>7348000</v>
      </c>
      <c r="K7" s="1">
        <v>1495000</v>
      </c>
      <c r="L7" s="1">
        <v>539700</v>
      </c>
      <c r="M7" s="1">
        <v>1001000</v>
      </c>
      <c r="N7" s="1">
        <v>2778000</v>
      </c>
      <c r="O7" s="1">
        <v>49360</v>
      </c>
      <c r="P7" s="1">
        <v>824400</v>
      </c>
      <c r="Q7" s="1">
        <v>620700</v>
      </c>
      <c r="R7" s="1">
        <v>808900</v>
      </c>
    </row>
    <row r="8" spans="1:18" x14ac:dyDescent="0.2">
      <c r="A8" t="s">
        <v>1042</v>
      </c>
      <c r="B8" s="1">
        <v>8270</v>
      </c>
      <c r="C8" s="1">
        <v>504400</v>
      </c>
      <c r="D8" s="46">
        <v>244900</v>
      </c>
      <c r="E8" s="1">
        <v>2357000</v>
      </c>
      <c r="F8" t="s">
        <v>1027</v>
      </c>
      <c r="G8" s="1">
        <v>4853000</v>
      </c>
      <c r="H8" s="1">
        <v>268700</v>
      </c>
      <c r="I8" s="1">
        <v>263000</v>
      </c>
      <c r="J8" s="1">
        <v>6654000</v>
      </c>
      <c r="K8" s="1">
        <v>922400</v>
      </c>
      <c r="L8" s="1">
        <v>397300</v>
      </c>
      <c r="M8" s="1">
        <v>2405000</v>
      </c>
      <c r="N8" s="1">
        <v>2914000</v>
      </c>
      <c r="O8" s="1">
        <v>44870</v>
      </c>
      <c r="P8" s="1">
        <v>765300</v>
      </c>
      <c r="Q8" s="1">
        <v>415700</v>
      </c>
      <c r="R8" s="1">
        <v>89840</v>
      </c>
    </row>
    <row r="9" spans="1:18" x14ac:dyDescent="0.2">
      <c r="A9" t="s">
        <v>1043</v>
      </c>
      <c r="B9" s="1">
        <v>7384</v>
      </c>
      <c r="C9" s="1">
        <v>514100</v>
      </c>
      <c r="D9" s="46">
        <v>272000</v>
      </c>
      <c r="E9" s="1">
        <v>2599000</v>
      </c>
      <c r="F9" t="s">
        <v>1027</v>
      </c>
      <c r="G9" s="1">
        <v>4275000</v>
      </c>
      <c r="H9" s="1">
        <v>253900</v>
      </c>
      <c r="I9" s="1">
        <v>270300</v>
      </c>
      <c r="J9" s="1">
        <v>6159000</v>
      </c>
      <c r="K9" s="1">
        <v>817500</v>
      </c>
      <c r="L9" s="1">
        <v>320000</v>
      </c>
      <c r="M9" s="1">
        <v>1977000</v>
      </c>
      <c r="N9" s="1">
        <v>1568000</v>
      </c>
      <c r="O9" s="1">
        <v>10970</v>
      </c>
      <c r="P9" s="1">
        <v>602100</v>
      </c>
      <c r="Q9" t="s">
        <v>1027</v>
      </c>
      <c r="R9" t="s">
        <v>1027</v>
      </c>
    </row>
    <row r="10" spans="1:18" x14ac:dyDescent="0.2">
      <c r="A10" t="s">
        <v>1043</v>
      </c>
      <c r="B10" s="1">
        <v>7754</v>
      </c>
      <c r="C10" s="1">
        <v>2111000</v>
      </c>
      <c r="D10" s="46">
        <v>502600</v>
      </c>
      <c r="E10" s="1">
        <v>4087000</v>
      </c>
      <c r="F10" t="s">
        <v>1027</v>
      </c>
      <c r="G10" s="1">
        <v>3845000</v>
      </c>
      <c r="H10" s="1">
        <v>650400</v>
      </c>
      <c r="I10" s="1">
        <v>262200</v>
      </c>
      <c r="J10" s="1">
        <v>8323000</v>
      </c>
      <c r="K10" s="1">
        <v>2271000</v>
      </c>
      <c r="L10" s="1">
        <v>809300</v>
      </c>
      <c r="M10" s="1">
        <v>1162000</v>
      </c>
      <c r="N10" s="1">
        <v>1697000</v>
      </c>
      <c r="O10" s="1">
        <v>29180</v>
      </c>
      <c r="P10" s="1">
        <v>1666000</v>
      </c>
      <c r="Q10" t="s">
        <v>1027</v>
      </c>
      <c r="R10" t="s">
        <v>1027</v>
      </c>
    </row>
    <row r="11" spans="1:18" x14ac:dyDescent="0.2">
      <c r="A11" t="s">
        <v>1044</v>
      </c>
      <c r="B11" s="1">
        <v>7467</v>
      </c>
      <c r="C11" s="1">
        <v>431800</v>
      </c>
      <c r="D11" s="46">
        <v>174800</v>
      </c>
      <c r="E11" s="1">
        <v>2158000</v>
      </c>
      <c r="F11" t="s">
        <v>1027</v>
      </c>
      <c r="G11" s="1">
        <v>4361000</v>
      </c>
      <c r="H11" s="1">
        <v>188300</v>
      </c>
      <c r="I11" s="1">
        <v>221200</v>
      </c>
      <c r="J11" s="1">
        <v>5937000</v>
      </c>
      <c r="K11" s="1">
        <v>869000</v>
      </c>
      <c r="L11" s="1">
        <v>352500</v>
      </c>
      <c r="M11" s="1">
        <v>1940000</v>
      </c>
      <c r="N11" s="1">
        <v>3225000</v>
      </c>
      <c r="O11" s="1">
        <v>27320</v>
      </c>
      <c r="P11" s="1">
        <v>715200</v>
      </c>
      <c r="Q11" s="1">
        <v>369900</v>
      </c>
      <c r="R11" s="1">
        <v>120000</v>
      </c>
    </row>
    <row r="12" spans="1:18" x14ac:dyDescent="0.2">
      <c r="A12" t="s">
        <v>1045</v>
      </c>
      <c r="B12" s="1">
        <v>20810</v>
      </c>
      <c r="C12" s="1">
        <v>1584000</v>
      </c>
      <c r="D12" s="46">
        <v>274100</v>
      </c>
      <c r="E12" s="1">
        <v>4293000</v>
      </c>
      <c r="F12" t="s">
        <v>1027</v>
      </c>
      <c r="G12" s="1">
        <v>4040000</v>
      </c>
      <c r="H12" s="1">
        <v>297200</v>
      </c>
      <c r="I12" s="1">
        <v>277100</v>
      </c>
      <c r="J12" s="1">
        <v>8798000</v>
      </c>
      <c r="K12" s="1">
        <v>3893000</v>
      </c>
      <c r="L12" s="1">
        <v>821000</v>
      </c>
      <c r="M12" s="1">
        <v>1296000</v>
      </c>
      <c r="N12" s="1">
        <v>2734000</v>
      </c>
      <c r="O12" s="1">
        <v>93380</v>
      </c>
      <c r="P12" s="1">
        <v>1010000</v>
      </c>
      <c r="Q12" t="s">
        <v>1027</v>
      </c>
      <c r="R12" t="s">
        <v>1027</v>
      </c>
    </row>
    <row r="13" spans="1:18" x14ac:dyDescent="0.2">
      <c r="A13" t="s">
        <v>1046</v>
      </c>
      <c r="B13" s="1">
        <v>15390</v>
      </c>
      <c r="C13" s="1">
        <v>513000</v>
      </c>
      <c r="D13" s="46">
        <v>157600</v>
      </c>
      <c r="E13" s="1">
        <v>2762000</v>
      </c>
      <c r="F13" s="1">
        <v>766600</v>
      </c>
      <c r="G13" s="1">
        <v>4484000</v>
      </c>
      <c r="H13" s="1">
        <v>159100</v>
      </c>
      <c r="I13" s="1">
        <v>237200</v>
      </c>
      <c r="J13" s="1">
        <v>6548000</v>
      </c>
      <c r="K13" s="1">
        <v>2174000</v>
      </c>
      <c r="L13" s="1">
        <v>369300</v>
      </c>
      <c r="M13" s="1">
        <v>1558000</v>
      </c>
      <c r="N13" s="1">
        <v>4252000</v>
      </c>
      <c r="O13" s="1">
        <v>58070</v>
      </c>
      <c r="P13" s="1">
        <v>458200</v>
      </c>
      <c r="Q13" t="s">
        <v>1027</v>
      </c>
      <c r="R13" t="s">
        <v>1027</v>
      </c>
    </row>
    <row r="14" spans="1:18" x14ac:dyDescent="0.2">
      <c r="A14" t="s">
        <v>1047</v>
      </c>
      <c r="B14" s="1">
        <v>21250</v>
      </c>
      <c r="C14" s="1">
        <v>1712000</v>
      </c>
      <c r="D14" s="46">
        <v>299300</v>
      </c>
      <c r="E14" s="1">
        <v>4262000</v>
      </c>
      <c r="F14" t="s">
        <v>1027</v>
      </c>
      <c r="G14" s="1">
        <v>3707000</v>
      </c>
      <c r="H14" s="1">
        <v>301700</v>
      </c>
      <c r="I14" s="1">
        <v>310000</v>
      </c>
      <c r="J14" s="1">
        <v>7726000</v>
      </c>
      <c r="K14" s="1">
        <v>3713000</v>
      </c>
      <c r="L14" s="1">
        <v>769500</v>
      </c>
      <c r="M14" s="1">
        <v>1051000</v>
      </c>
      <c r="N14" s="1">
        <v>2788000</v>
      </c>
      <c r="O14" s="1">
        <v>110800</v>
      </c>
      <c r="P14" s="1">
        <v>892700</v>
      </c>
      <c r="Q14" t="s">
        <v>1027</v>
      </c>
      <c r="R14" t="s">
        <v>1027</v>
      </c>
    </row>
    <row r="15" spans="1:18" x14ac:dyDescent="0.2">
      <c r="A15" t="s">
        <v>1048</v>
      </c>
      <c r="B15" s="1">
        <v>8339</v>
      </c>
      <c r="C15" s="1">
        <v>516400</v>
      </c>
      <c r="D15" s="46">
        <v>238000</v>
      </c>
      <c r="E15" s="1">
        <v>2230000</v>
      </c>
      <c r="F15" t="s">
        <v>1027</v>
      </c>
      <c r="G15" s="1">
        <v>4817000</v>
      </c>
      <c r="H15" s="1">
        <v>261000</v>
      </c>
      <c r="I15" s="1">
        <v>245900</v>
      </c>
      <c r="J15" s="1">
        <v>6164000</v>
      </c>
      <c r="K15" s="1">
        <v>769500</v>
      </c>
      <c r="L15" s="1">
        <v>339900</v>
      </c>
      <c r="M15" s="1">
        <v>2239000</v>
      </c>
      <c r="N15" s="1">
        <v>2900000</v>
      </c>
      <c r="O15" s="1">
        <v>20960</v>
      </c>
      <c r="P15" s="1">
        <v>630400</v>
      </c>
      <c r="Q15" s="1">
        <v>414700</v>
      </c>
      <c r="R15" s="1">
        <v>112100</v>
      </c>
    </row>
    <row r="16" spans="1:18" x14ac:dyDescent="0.2">
      <c r="A16" t="s">
        <v>1049</v>
      </c>
      <c r="B16" s="1">
        <v>9339</v>
      </c>
      <c r="C16" s="1">
        <v>1934000</v>
      </c>
      <c r="D16" s="46">
        <v>436900</v>
      </c>
      <c r="E16" s="1">
        <v>3801000</v>
      </c>
      <c r="F16" t="s">
        <v>1027</v>
      </c>
      <c r="G16" s="1">
        <v>4674000</v>
      </c>
      <c r="H16" s="1">
        <v>553900</v>
      </c>
      <c r="I16" s="1">
        <v>315400</v>
      </c>
      <c r="J16" s="1">
        <v>8971000</v>
      </c>
      <c r="K16" s="1">
        <v>1761000</v>
      </c>
      <c r="L16" s="1">
        <v>715700</v>
      </c>
      <c r="M16" s="1">
        <v>2458000</v>
      </c>
      <c r="N16" s="1">
        <v>1615000</v>
      </c>
      <c r="O16" s="1">
        <v>41660</v>
      </c>
      <c r="P16" s="1">
        <v>1403000</v>
      </c>
      <c r="Q16" s="1">
        <v>318200</v>
      </c>
      <c r="R16" t="s">
        <v>1027</v>
      </c>
    </row>
    <row r="17" spans="1:18" x14ac:dyDescent="0.2">
      <c r="A17" t="s">
        <v>1050</v>
      </c>
      <c r="B17" s="1">
        <v>7616</v>
      </c>
      <c r="C17" s="1">
        <v>471500</v>
      </c>
      <c r="D17" s="46">
        <v>2008000</v>
      </c>
      <c r="E17" s="1">
        <v>2316000</v>
      </c>
      <c r="F17" t="s">
        <v>1027</v>
      </c>
      <c r="G17" s="1">
        <v>4738000</v>
      </c>
      <c r="H17" s="1">
        <v>2013000</v>
      </c>
      <c r="I17" s="1">
        <v>243300</v>
      </c>
      <c r="J17" s="1">
        <v>6454000</v>
      </c>
      <c r="K17" s="1">
        <v>847300</v>
      </c>
      <c r="L17" s="1">
        <v>364500</v>
      </c>
      <c r="M17" s="1">
        <v>1976000</v>
      </c>
      <c r="N17" s="1">
        <v>3885000</v>
      </c>
      <c r="O17" s="1">
        <v>22640</v>
      </c>
      <c r="P17" s="1">
        <v>784700</v>
      </c>
      <c r="Q17" s="1">
        <v>398100</v>
      </c>
      <c r="R17" s="1">
        <v>210200</v>
      </c>
    </row>
    <row r="18" spans="1:18" x14ac:dyDescent="0.2">
      <c r="A18" t="s">
        <v>1051</v>
      </c>
      <c r="B18" s="1">
        <v>5854</v>
      </c>
      <c r="C18" s="1">
        <v>1554000</v>
      </c>
      <c r="D18" s="46">
        <v>254900</v>
      </c>
      <c r="E18" s="1">
        <v>4364000</v>
      </c>
      <c r="F18" t="s">
        <v>1027</v>
      </c>
      <c r="G18" s="1">
        <v>4700000</v>
      </c>
      <c r="H18" s="1">
        <v>263800</v>
      </c>
      <c r="I18" s="1">
        <v>341700</v>
      </c>
      <c r="J18" s="1">
        <v>8928000</v>
      </c>
      <c r="K18" s="1">
        <v>3051000</v>
      </c>
      <c r="L18" s="1">
        <v>710200</v>
      </c>
      <c r="M18" s="1">
        <v>2120000</v>
      </c>
      <c r="N18" s="1">
        <v>2399000</v>
      </c>
      <c r="O18" s="1">
        <v>26320</v>
      </c>
      <c r="P18" s="1">
        <v>1086000</v>
      </c>
      <c r="Q18" t="s">
        <v>1027</v>
      </c>
      <c r="R18" t="s">
        <v>1027</v>
      </c>
    </row>
    <row r="19" spans="1:18" x14ac:dyDescent="0.2">
      <c r="A19" t="s">
        <v>1052</v>
      </c>
      <c r="B19" s="1">
        <v>9874</v>
      </c>
      <c r="C19" s="1">
        <v>1853000</v>
      </c>
      <c r="D19" s="46">
        <v>288500</v>
      </c>
      <c r="E19" s="1">
        <v>4441000</v>
      </c>
      <c r="F19" t="s">
        <v>1027</v>
      </c>
      <c r="G19" s="1">
        <v>4844000</v>
      </c>
      <c r="H19" s="1">
        <v>311700</v>
      </c>
      <c r="I19" s="1">
        <v>338900</v>
      </c>
      <c r="J19" s="1">
        <v>9154000</v>
      </c>
      <c r="K19" s="1">
        <v>3082000</v>
      </c>
      <c r="L19" s="1">
        <v>784600</v>
      </c>
      <c r="M19" s="1">
        <v>1733000</v>
      </c>
      <c r="N19" s="1">
        <v>2876000</v>
      </c>
      <c r="O19" s="1">
        <v>31250</v>
      </c>
      <c r="P19" s="1">
        <v>1037000</v>
      </c>
      <c r="Q19" t="s">
        <v>1027</v>
      </c>
      <c r="R19" t="s">
        <v>1027</v>
      </c>
    </row>
    <row r="20" spans="1:18" x14ac:dyDescent="0.2">
      <c r="A20" t="s">
        <v>1037</v>
      </c>
      <c r="B20" s="1">
        <v>8585</v>
      </c>
      <c r="C20" s="1">
        <v>1443000</v>
      </c>
      <c r="D20" s="46">
        <v>314300</v>
      </c>
      <c r="E20" s="1">
        <v>4511000</v>
      </c>
      <c r="F20" t="s">
        <v>1027</v>
      </c>
      <c r="G20" s="1">
        <v>4693000</v>
      </c>
      <c r="H20" s="1">
        <v>303400</v>
      </c>
      <c r="I20" s="1">
        <v>321100</v>
      </c>
      <c r="J20" s="1">
        <v>9521000</v>
      </c>
      <c r="K20" s="1">
        <v>2698000</v>
      </c>
      <c r="L20" s="1">
        <v>711600</v>
      </c>
      <c r="M20" s="1">
        <v>1986000</v>
      </c>
      <c r="N20" s="1">
        <v>3076000</v>
      </c>
      <c r="O20" s="1">
        <v>23610</v>
      </c>
      <c r="P20" s="1">
        <v>1075000</v>
      </c>
      <c r="Q20" t="s">
        <v>1027</v>
      </c>
      <c r="R20" t="s">
        <v>1027</v>
      </c>
    </row>
    <row r="21" spans="1:18" x14ac:dyDescent="0.2">
      <c r="A21" t="s">
        <v>1040</v>
      </c>
      <c r="B21" s="1">
        <v>4935</v>
      </c>
      <c r="C21" s="1">
        <v>594900</v>
      </c>
      <c r="D21" s="46">
        <v>159300</v>
      </c>
      <c r="E21" s="1">
        <v>2620000</v>
      </c>
      <c r="F21" t="s">
        <v>1027</v>
      </c>
      <c r="G21" s="1">
        <v>4367000</v>
      </c>
      <c r="H21" s="1">
        <v>160700</v>
      </c>
      <c r="I21" s="1">
        <v>244900</v>
      </c>
      <c r="J21" s="1">
        <v>7092000</v>
      </c>
      <c r="K21" s="1">
        <v>1437000</v>
      </c>
      <c r="L21" s="1">
        <v>316600</v>
      </c>
      <c r="M21" s="1">
        <v>1882000</v>
      </c>
      <c r="N21" s="1">
        <v>2704000</v>
      </c>
      <c r="O21" s="1">
        <v>15590</v>
      </c>
      <c r="P21" s="1">
        <v>530700</v>
      </c>
      <c r="Q21" t="s">
        <v>1027</v>
      </c>
      <c r="R21" t="s">
        <v>1027</v>
      </c>
    </row>
    <row r="22" spans="1:18" x14ac:dyDescent="0.2">
      <c r="A22" t="s">
        <v>1053</v>
      </c>
      <c r="B22" s="1">
        <v>8217</v>
      </c>
      <c r="C22" s="1">
        <v>484000</v>
      </c>
      <c r="D22" s="46">
        <v>240100</v>
      </c>
      <c r="E22" s="1">
        <v>2273000</v>
      </c>
      <c r="F22" t="s">
        <v>1027</v>
      </c>
      <c r="G22" s="1">
        <v>5000000</v>
      </c>
      <c r="H22" s="1">
        <v>226900</v>
      </c>
      <c r="I22" s="1">
        <v>247200</v>
      </c>
      <c r="J22" s="1">
        <v>6566000</v>
      </c>
      <c r="K22" s="1">
        <v>778400</v>
      </c>
      <c r="L22" s="1">
        <v>357700</v>
      </c>
      <c r="M22" s="1">
        <v>2394000</v>
      </c>
      <c r="N22" s="1">
        <v>3518000</v>
      </c>
      <c r="O22" s="1">
        <v>34610</v>
      </c>
      <c r="P22" s="1">
        <v>682600</v>
      </c>
      <c r="Q22" s="1">
        <v>427900</v>
      </c>
      <c r="R22" s="1">
        <v>113500</v>
      </c>
    </row>
    <row r="23" spans="1:18" x14ac:dyDescent="0.2">
      <c r="A23" t="s">
        <v>1054</v>
      </c>
      <c r="B23" s="1">
        <v>6180</v>
      </c>
      <c r="C23" s="1">
        <v>422000</v>
      </c>
      <c r="D23" s="46">
        <v>202100</v>
      </c>
      <c r="E23" s="1">
        <v>2292000</v>
      </c>
      <c r="F23" t="s">
        <v>1027</v>
      </c>
      <c r="G23" s="1">
        <v>4493000</v>
      </c>
      <c r="H23" s="1">
        <v>204000</v>
      </c>
      <c r="I23" s="1">
        <v>239000</v>
      </c>
      <c r="J23" s="1">
        <v>6011000</v>
      </c>
      <c r="K23" s="1">
        <v>755600</v>
      </c>
      <c r="L23" s="1">
        <v>325400</v>
      </c>
      <c r="M23" s="1">
        <v>2210000</v>
      </c>
      <c r="N23" s="1">
        <v>2722000</v>
      </c>
      <c r="O23" s="1">
        <v>19210</v>
      </c>
      <c r="P23" s="1">
        <v>627200</v>
      </c>
      <c r="Q23" s="1">
        <v>410000</v>
      </c>
      <c r="R23" s="1">
        <v>190400</v>
      </c>
    </row>
    <row r="24" spans="1:18" x14ac:dyDescent="0.2">
      <c r="A24" t="s">
        <v>1055</v>
      </c>
      <c r="B24" s="1">
        <v>12440</v>
      </c>
      <c r="C24" s="1">
        <v>2121000</v>
      </c>
      <c r="D24" s="46">
        <v>472100</v>
      </c>
      <c r="E24" s="1">
        <v>3831000</v>
      </c>
      <c r="F24" t="s">
        <v>1027</v>
      </c>
      <c r="G24" s="1">
        <v>4727000</v>
      </c>
      <c r="H24" s="1">
        <v>626300</v>
      </c>
      <c r="I24" s="1">
        <v>315000</v>
      </c>
      <c r="J24" s="1">
        <v>8652000</v>
      </c>
      <c r="K24" s="1">
        <v>1915000</v>
      </c>
      <c r="L24" s="1">
        <v>749100</v>
      </c>
      <c r="M24" s="1">
        <v>2526000</v>
      </c>
      <c r="N24" s="1">
        <v>1829000</v>
      </c>
      <c r="O24" s="1">
        <v>39160</v>
      </c>
      <c r="P24" s="1">
        <v>1322000</v>
      </c>
      <c r="Q24" s="1">
        <v>646300</v>
      </c>
      <c r="R24" s="1">
        <v>311300</v>
      </c>
    </row>
    <row r="25" spans="1:18" x14ac:dyDescent="0.2">
      <c r="A25" t="s">
        <v>1056</v>
      </c>
      <c r="B25" s="1">
        <v>13010</v>
      </c>
      <c r="C25" s="1">
        <v>561300</v>
      </c>
      <c r="D25" s="46">
        <v>167500</v>
      </c>
      <c r="E25" s="1">
        <v>2641000</v>
      </c>
      <c r="F25" t="s">
        <v>1027</v>
      </c>
      <c r="G25" s="1">
        <v>4565000</v>
      </c>
      <c r="H25" s="1">
        <v>172600</v>
      </c>
      <c r="I25" s="1">
        <v>219700</v>
      </c>
      <c r="J25" s="1">
        <v>6520000</v>
      </c>
      <c r="K25" s="1">
        <v>1699000</v>
      </c>
      <c r="L25" s="1">
        <v>361200</v>
      </c>
      <c r="M25" s="1">
        <v>1705000</v>
      </c>
      <c r="N25" s="1">
        <v>3979000</v>
      </c>
      <c r="O25" s="1">
        <v>58080</v>
      </c>
      <c r="P25" s="1">
        <v>486800</v>
      </c>
      <c r="Q25" t="s">
        <v>1027</v>
      </c>
      <c r="R25" t="s">
        <v>1027</v>
      </c>
    </row>
    <row r="26" spans="1:18" x14ac:dyDescent="0.2">
      <c r="A26" t="s">
        <v>1057</v>
      </c>
      <c r="B26" s="1">
        <v>15170</v>
      </c>
      <c r="C26" s="1">
        <v>570000</v>
      </c>
      <c r="D26" s="46">
        <v>212700</v>
      </c>
      <c r="E26" s="1">
        <v>2898000</v>
      </c>
      <c r="F26" t="s">
        <v>1027</v>
      </c>
      <c r="G26" s="1">
        <v>4358000</v>
      </c>
      <c r="H26" s="1">
        <v>224600</v>
      </c>
      <c r="I26" s="1">
        <v>257300</v>
      </c>
      <c r="J26" s="1">
        <v>7004000</v>
      </c>
      <c r="K26" s="1">
        <v>1899000</v>
      </c>
      <c r="L26" s="1">
        <v>367800</v>
      </c>
      <c r="M26" s="1">
        <v>1865000</v>
      </c>
      <c r="N26" s="1">
        <v>2941000</v>
      </c>
      <c r="O26" s="1">
        <v>62290</v>
      </c>
      <c r="P26" s="1">
        <v>481100</v>
      </c>
      <c r="Q26" t="s">
        <v>1027</v>
      </c>
      <c r="R26" t="s">
        <v>1027</v>
      </c>
    </row>
    <row r="27" spans="1:18" x14ac:dyDescent="0.2">
      <c r="A27" t="s">
        <v>1058</v>
      </c>
      <c r="B27" s="1">
        <v>14790</v>
      </c>
      <c r="C27" s="1">
        <v>436600</v>
      </c>
      <c r="D27" s="46">
        <v>142900</v>
      </c>
      <c r="E27" s="1">
        <v>2601000</v>
      </c>
      <c r="F27" t="s">
        <v>1027</v>
      </c>
      <c r="G27" s="1">
        <v>4325000</v>
      </c>
      <c r="H27" s="1">
        <v>149000</v>
      </c>
      <c r="I27" s="1">
        <v>218800</v>
      </c>
      <c r="J27" s="1">
        <v>6387000</v>
      </c>
      <c r="K27" s="1">
        <v>1646000</v>
      </c>
      <c r="L27" s="1">
        <v>381300</v>
      </c>
      <c r="M27" s="1">
        <v>1520000</v>
      </c>
      <c r="N27" s="1">
        <v>5311000</v>
      </c>
      <c r="O27" s="1">
        <v>83630</v>
      </c>
      <c r="P27" s="1">
        <v>524600</v>
      </c>
      <c r="Q27" s="1">
        <v>432000</v>
      </c>
      <c r="R27" s="1">
        <v>44650</v>
      </c>
    </row>
    <row r="28" spans="1:18" x14ac:dyDescent="0.2">
      <c r="A28" t="s">
        <v>1059</v>
      </c>
      <c r="B28" s="1">
        <v>172300</v>
      </c>
      <c r="C28" s="1">
        <v>37340000</v>
      </c>
      <c r="D28" s="46">
        <v>121800</v>
      </c>
      <c r="E28" s="1">
        <v>2718000</v>
      </c>
      <c r="F28" t="s">
        <v>1027</v>
      </c>
      <c r="G28" s="1">
        <v>5059000</v>
      </c>
      <c r="H28" s="1">
        <v>115500</v>
      </c>
      <c r="I28" s="1">
        <v>293300</v>
      </c>
      <c r="J28" s="1">
        <v>6549000</v>
      </c>
      <c r="K28" s="1">
        <v>1291000</v>
      </c>
      <c r="L28" s="1">
        <v>353400</v>
      </c>
      <c r="M28" s="1">
        <v>1998000</v>
      </c>
      <c r="N28" s="1">
        <v>4515000</v>
      </c>
      <c r="O28" s="1">
        <v>22300</v>
      </c>
      <c r="P28" s="1">
        <v>672000</v>
      </c>
      <c r="Q28" s="1">
        <v>362900</v>
      </c>
      <c r="R28" s="1">
        <v>138900</v>
      </c>
    </row>
    <row r="29" spans="1:18" x14ac:dyDescent="0.2">
      <c r="A29" t="s">
        <v>1060</v>
      </c>
      <c r="B29" s="1">
        <v>170100</v>
      </c>
      <c r="C29" s="1">
        <v>44490000</v>
      </c>
      <c r="D29" s="46">
        <v>133200</v>
      </c>
      <c r="E29" s="1">
        <v>2854000</v>
      </c>
      <c r="F29" t="s">
        <v>1027</v>
      </c>
      <c r="G29" s="1">
        <v>4926000</v>
      </c>
      <c r="H29" s="1">
        <v>135100</v>
      </c>
      <c r="I29" s="1">
        <v>360500</v>
      </c>
      <c r="J29" s="1">
        <v>7138000</v>
      </c>
      <c r="K29" s="1">
        <v>1598000</v>
      </c>
      <c r="L29" s="1">
        <v>352400</v>
      </c>
      <c r="M29" s="1">
        <v>2477000</v>
      </c>
      <c r="N29" s="1">
        <v>1971000</v>
      </c>
      <c r="O29" s="1">
        <v>26480</v>
      </c>
      <c r="P29" s="1">
        <v>668400</v>
      </c>
      <c r="Q29" s="1">
        <v>439900</v>
      </c>
      <c r="R29" s="1">
        <v>147500</v>
      </c>
    </row>
    <row r="30" spans="1:18" x14ac:dyDescent="0.2">
      <c r="A30" t="s">
        <v>1061</v>
      </c>
      <c r="B30" s="1">
        <v>114500</v>
      </c>
      <c r="C30" s="1">
        <v>33520000</v>
      </c>
      <c r="D30" s="46">
        <v>140000</v>
      </c>
      <c r="E30" s="1">
        <v>2449000</v>
      </c>
      <c r="F30" t="s">
        <v>1027</v>
      </c>
      <c r="G30" s="1">
        <v>5187000</v>
      </c>
      <c r="H30" s="1">
        <v>119600</v>
      </c>
      <c r="I30" s="1">
        <v>305000</v>
      </c>
      <c r="J30" s="1">
        <v>6457000</v>
      </c>
      <c r="K30" s="1">
        <v>1284000</v>
      </c>
      <c r="L30" s="1">
        <v>336300</v>
      </c>
      <c r="M30" s="1">
        <v>2195000</v>
      </c>
      <c r="N30" s="1">
        <v>3519000</v>
      </c>
      <c r="O30" s="1">
        <v>12690</v>
      </c>
      <c r="P30" s="1">
        <v>583900</v>
      </c>
      <c r="Q30" s="1">
        <v>380500</v>
      </c>
      <c r="R30" s="1">
        <v>135900</v>
      </c>
    </row>
    <row r="31" spans="1:18" x14ac:dyDescent="0.2">
      <c r="A31" t="s">
        <v>1062</v>
      </c>
      <c r="B31" s="1">
        <v>379900</v>
      </c>
      <c r="C31" s="1">
        <v>126800000</v>
      </c>
      <c r="D31" s="46">
        <v>208600</v>
      </c>
      <c r="E31" s="1">
        <v>4475000</v>
      </c>
      <c r="F31" t="s">
        <v>1027</v>
      </c>
      <c r="G31" s="1">
        <v>4328000</v>
      </c>
      <c r="H31" s="1">
        <v>211000</v>
      </c>
      <c r="I31" s="1">
        <v>424300</v>
      </c>
      <c r="J31" s="1">
        <v>9360000</v>
      </c>
      <c r="K31" s="1">
        <v>3810000</v>
      </c>
      <c r="L31" s="1">
        <v>757000</v>
      </c>
      <c r="M31" s="1">
        <v>1681000</v>
      </c>
      <c r="N31" s="1">
        <v>2467000</v>
      </c>
      <c r="O31" s="1">
        <v>96090</v>
      </c>
      <c r="P31" s="1">
        <v>874200</v>
      </c>
      <c r="Q31" s="1">
        <v>257800</v>
      </c>
      <c r="R31" t="s">
        <v>1027</v>
      </c>
    </row>
    <row r="32" spans="1:18" x14ac:dyDescent="0.2">
      <c r="A32" t="s">
        <v>1063</v>
      </c>
      <c r="B32" s="1">
        <v>373900</v>
      </c>
      <c r="C32" s="1">
        <v>118600000</v>
      </c>
      <c r="D32" s="46">
        <v>134200</v>
      </c>
      <c r="E32" s="1">
        <v>4190000</v>
      </c>
      <c r="F32" t="s">
        <v>1027</v>
      </c>
      <c r="G32" s="1">
        <v>5013000</v>
      </c>
      <c r="H32" s="1">
        <v>154300</v>
      </c>
      <c r="I32" s="1">
        <v>267700</v>
      </c>
      <c r="J32" s="1">
        <v>8603000</v>
      </c>
      <c r="K32" s="1">
        <v>3552000</v>
      </c>
      <c r="L32" s="1">
        <v>762700</v>
      </c>
      <c r="M32" s="1">
        <v>2233000</v>
      </c>
      <c r="N32" s="1">
        <v>2743000</v>
      </c>
      <c r="O32" s="1">
        <v>100300</v>
      </c>
      <c r="P32" s="1">
        <v>995100</v>
      </c>
      <c r="Q32" t="s">
        <v>1027</v>
      </c>
      <c r="R32" t="s">
        <v>1027</v>
      </c>
    </row>
    <row r="33" spans="1:18" x14ac:dyDescent="0.2">
      <c r="A33" t="s">
        <v>1064</v>
      </c>
      <c r="B33" s="1">
        <v>399800</v>
      </c>
      <c r="C33" s="1">
        <v>129000000</v>
      </c>
      <c r="D33" s="46">
        <v>162600</v>
      </c>
      <c r="E33" s="1">
        <v>4594000</v>
      </c>
      <c r="F33" t="s">
        <v>1027</v>
      </c>
      <c r="G33" s="1">
        <v>4512000</v>
      </c>
      <c r="H33" s="1">
        <v>164900</v>
      </c>
      <c r="I33" s="1">
        <v>431100</v>
      </c>
      <c r="J33" s="1">
        <v>7980000</v>
      </c>
      <c r="K33" s="1">
        <v>3633000</v>
      </c>
      <c r="L33" s="1">
        <v>836200</v>
      </c>
      <c r="M33" s="1">
        <v>1094000</v>
      </c>
      <c r="N33" s="1">
        <v>2778000</v>
      </c>
      <c r="O33" s="1">
        <v>121400</v>
      </c>
      <c r="P33" s="1">
        <v>992200</v>
      </c>
      <c r="Q33" s="1">
        <v>698200</v>
      </c>
      <c r="R33" t="s">
        <v>1027</v>
      </c>
    </row>
    <row r="34" spans="1:18" x14ac:dyDescent="0.2">
      <c r="A34" t="s">
        <v>1065</v>
      </c>
      <c r="B34" s="1">
        <v>14430</v>
      </c>
      <c r="C34" s="1">
        <v>1983000</v>
      </c>
      <c r="D34" s="46">
        <v>7857000</v>
      </c>
      <c r="E34" s="1">
        <v>3873000</v>
      </c>
      <c r="F34" t="s">
        <v>1027</v>
      </c>
      <c r="G34" s="1">
        <v>4729000</v>
      </c>
      <c r="H34" s="1">
        <v>9592000</v>
      </c>
      <c r="I34" s="1">
        <v>367200</v>
      </c>
      <c r="J34" s="1">
        <v>8960000</v>
      </c>
      <c r="K34" s="1">
        <v>1978000</v>
      </c>
      <c r="L34" s="1">
        <v>738300</v>
      </c>
      <c r="M34" s="1">
        <v>2592000</v>
      </c>
      <c r="N34" s="1">
        <v>1848000</v>
      </c>
      <c r="O34" s="1">
        <v>27420</v>
      </c>
      <c r="P34" s="1">
        <v>1343000</v>
      </c>
      <c r="Q34" s="1">
        <v>668500</v>
      </c>
      <c r="R34" s="1">
        <v>289800</v>
      </c>
    </row>
    <row r="35" spans="1:18" x14ac:dyDescent="0.2">
      <c r="A35" t="s">
        <v>1066</v>
      </c>
      <c r="B35" s="1">
        <v>12440</v>
      </c>
      <c r="C35" s="1">
        <v>2377000</v>
      </c>
      <c r="D35" s="46">
        <v>531600</v>
      </c>
      <c r="E35" s="1">
        <v>3669000</v>
      </c>
      <c r="F35" t="s">
        <v>1027</v>
      </c>
      <c r="G35" s="1">
        <v>4105000</v>
      </c>
      <c r="H35" s="1">
        <v>488300</v>
      </c>
      <c r="I35" s="1">
        <v>281700</v>
      </c>
      <c r="J35" s="1">
        <v>8282000</v>
      </c>
      <c r="K35" s="1">
        <v>2047000</v>
      </c>
      <c r="L35" s="1">
        <v>681700</v>
      </c>
      <c r="M35" s="1">
        <v>1862000</v>
      </c>
      <c r="N35" s="1">
        <v>1504000</v>
      </c>
      <c r="O35" s="1">
        <v>52920</v>
      </c>
      <c r="P35" s="1">
        <v>1481000</v>
      </c>
      <c r="Q35" s="1">
        <v>634800</v>
      </c>
      <c r="R35" s="1">
        <v>285600</v>
      </c>
    </row>
    <row r="36" spans="1:18" x14ac:dyDescent="0.2">
      <c r="A36" t="s">
        <v>1067</v>
      </c>
      <c r="B36" s="1">
        <v>8095</v>
      </c>
      <c r="C36" s="1">
        <v>354000</v>
      </c>
      <c r="D36" s="46">
        <v>199600</v>
      </c>
      <c r="E36" s="1">
        <v>2160000</v>
      </c>
      <c r="F36" t="s">
        <v>1027</v>
      </c>
      <c r="G36" s="1">
        <v>5023000</v>
      </c>
      <c r="H36" s="1">
        <v>202700</v>
      </c>
      <c r="I36" s="1">
        <v>225300</v>
      </c>
      <c r="J36" s="1">
        <v>6223000</v>
      </c>
      <c r="K36" s="1">
        <v>838400</v>
      </c>
      <c r="L36" s="1">
        <v>365000</v>
      </c>
      <c r="M36" s="1">
        <v>2161000</v>
      </c>
      <c r="N36" s="1">
        <v>4523000</v>
      </c>
      <c r="O36" s="1">
        <v>22550</v>
      </c>
      <c r="P36" s="1">
        <v>722200</v>
      </c>
      <c r="Q36" s="1">
        <v>400500</v>
      </c>
      <c r="R36" s="1">
        <v>184400</v>
      </c>
    </row>
    <row r="37" spans="1:18" x14ac:dyDescent="0.2">
      <c r="A37" t="s">
        <v>1068</v>
      </c>
      <c r="B37" s="1">
        <v>20210</v>
      </c>
      <c r="C37" s="1">
        <v>1663000</v>
      </c>
      <c r="D37" s="46">
        <v>382400</v>
      </c>
      <c r="E37" s="1">
        <v>4033000</v>
      </c>
      <c r="F37" t="s">
        <v>1027</v>
      </c>
      <c r="G37" s="1">
        <v>4621000</v>
      </c>
      <c r="H37" s="1">
        <v>386300</v>
      </c>
      <c r="I37" s="1">
        <v>323800</v>
      </c>
      <c r="J37" s="1">
        <v>8306000</v>
      </c>
      <c r="K37" s="1">
        <v>3916000</v>
      </c>
      <c r="L37" s="1">
        <v>742200</v>
      </c>
      <c r="M37" s="1">
        <v>1908000</v>
      </c>
      <c r="N37" s="1">
        <v>2602000</v>
      </c>
      <c r="O37" s="1">
        <v>92670</v>
      </c>
      <c r="P37" s="1">
        <v>867400</v>
      </c>
      <c r="Q37" t="s">
        <v>1027</v>
      </c>
      <c r="R37" t="s">
        <v>1027</v>
      </c>
    </row>
    <row r="38" spans="1:18" x14ac:dyDescent="0.2">
      <c r="A38" t="s">
        <v>1069</v>
      </c>
      <c r="B38" s="1">
        <v>27360</v>
      </c>
      <c r="C38" s="1">
        <v>1626000</v>
      </c>
      <c r="D38" s="46">
        <v>496400</v>
      </c>
      <c r="E38" s="1">
        <v>4603000</v>
      </c>
      <c r="F38" t="s">
        <v>1027</v>
      </c>
      <c r="G38" s="1">
        <v>4186000</v>
      </c>
      <c r="H38" s="1">
        <v>460600</v>
      </c>
      <c r="I38" s="1">
        <v>430000</v>
      </c>
      <c r="J38" s="1">
        <v>6481000</v>
      </c>
      <c r="K38" s="1">
        <v>3848000</v>
      </c>
      <c r="L38" s="1">
        <v>702600</v>
      </c>
      <c r="M38" s="1">
        <v>718600</v>
      </c>
      <c r="N38" s="1">
        <v>3504000</v>
      </c>
      <c r="O38" s="1">
        <v>77940</v>
      </c>
      <c r="P38" s="1">
        <v>950800</v>
      </c>
      <c r="Q38" s="1">
        <v>700100</v>
      </c>
      <c r="R38" s="1">
        <v>111900</v>
      </c>
    </row>
    <row r="39" spans="1:18" x14ac:dyDescent="0.2">
      <c r="A39" t="s">
        <v>1070</v>
      </c>
      <c r="B39" s="1">
        <v>11490</v>
      </c>
      <c r="C39" s="1">
        <v>537300</v>
      </c>
      <c r="D39" s="46">
        <v>172400</v>
      </c>
      <c r="E39" s="1">
        <v>2730000</v>
      </c>
      <c r="F39" t="s">
        <v>1027</v>
      </c>
      <c r="G39" s="1">
        <v>4851000</v>
      </c>
      <c r="H39" s="1">
        <v>175000</v>
      </c>
      <c r="I39" s="1">
        <v>218000</v>
      </c>
      <c r="J39" s="1">
        <v>6785000</v>
      </c>
      <c r="K39" s="1">
        <v>1658000</v>
      </c>
      <c r="L39" s="1">
        <v>360700</v>
      </c>
      <c r="M39" s="1">
        <v>1703000</v>
      </c>
      <c r="N39" s="1">
        <v>4239000</v>
      </c>
      <c r="O39" s="1">
        <v>65990</v>
      </c>
      <c r="P39" s="1">
        <v>443400</v>
      </c>
      <c r="Q39" t="s">
        <v>1027</v>
      </c>
      <c r="R39" t="s">
        <v>1027</v>
      </c>
    </row>
    <row r="40" spans="1:18" x14ac:dyDescent="0.2">
      <c r="A40" t="s">
        <v>1071</v>
      </c>
      <c r="B40" s="1">
        <v>8450</v>
      </c>
      <c r="C40" s="1">
        <v>401900</v>
      </c>
      <c r="D40" s="46">
        <v>2231000</v>
      </c>
      <c r="E40" s="1">
        <v>2246000</v>
      </c>
      <c r="F40" t="s">
        <v>1027</v>
      </c>
      <c r="G40" s="1">
        <v>4699000</v>
      </c>
      <c r="H40" s="1">
        <v>2237000</v>
      </c>
      <c r="I40" s="1">
        <v>240600</v>
      </c>
      <c r="J40" s="1">
        <v>6225000</v>
      </c>
      <c r="K40" s="1">
        <v>880400</v>
      </c>
      <c r="L40" s="1">
        <v>350300</v>
      </c>
      <c r="M40" s="1">
        <v>2137000</v>
      </c>
      <c r="N40" s="1">
        <v>3193000</v>
      </c>
      <c r="O40" s="1">
        <v>17460</v>
      </c>
      <c r="P40" s="1">
        <v>679300</v>
      </c>
      <c r="Q40" s="1">
        <v>403400</v>
      </c>
      <c r="R40" s="1">
        <v>204400</v>
      </c>
    </row>
    <row r="41" spans="1:18" x14ac:dyDescent="0.2">
      <c r="A41" t="s">
        <v>1072</v>
      </c>
      <c r="B41" s="1">
        <v>11510</v>
      </c>
      <c r="C41" s="1">
        <v>1937000</v>
      </c>
      <c r="D41" s="46">
        <v>537200</v>
      </c>
      <c r="E41" s="1">
        <v>3760000</v>
      </c>
      <c r="F41" t="s">
        <v>1027</v>
      </c>
      <c r="G41" s="1">
        <v>3786000</v>
      </c>
      <c r="H41" s="1">
        <v>721600</v>
      </c>
      <c r="I41" s="1">
        <v>331200</v>
      </c>
      <c r="J41" s="1">
        <v>6984000</v>
      </c>
      <c r="K41" s="1">
        <v>1956000</v>
      </c>
      <c r="L41" s="1">
        <v>673600</v>
      </c>
      <c r="M41" s="1">
        <v>1110000</v>
      </c>
      <c r="N41" s="1">
        <v>1666000</v>
      </c>
      <c r="O41" s="1">
        <v>47590</v>
      </c>
      <c r="P41" s="1">
        <v>1401000</v>
      </c>
      <c r="Q41" s="1">
        <v>689800</v>
      </c>
      <c r="R41" s="1">
        <v>282800</v>
      </c>
    </row>
    <row r="42" spans="1:18" x14ac:dyDescent="0.2">
      <c r="A42" t="s">
        <v>1073</v>
      </c>
      <c r="B42" s="1">
        <v>5589</v>
      </c>
      <c r="C42" s="1">
        <v>289500</v>
      </c>
      <c r="D42" s="46">
        <v>6846000</v>
      </c>
      <c r="E42" s="1">
        <v>2016000</v>
      </c>
      <c r="F42" t="s">
        <v>1027</v>
      </c>
      <c r="G42" s="1">
        <v>4539000</v>
      </c>
      <c r="H42" s="1">
        <v>6854000</v>
      </c>
      <c r="I42" s="1">
        <v>225900</v>
      </c>
      <c r="J42" s="1">
        <v>6473000</v>
      </c>
      <c r="K42" s="1">
        <v>927600</v>
      </c>
      <c r="L42" s="1">
        <v>319700</v>
      </c>
      <c r="M42" s="1">
        <v>2297000</v>
      </c>
      <c r="N42" s="1">
        <v>3022000</v>
      </c>
      <c r="O42" s="1">
        <v>13190</v>
      </c>
      <c r="P42" s="1">
        <v>642200</v>
      </c>
      <c r="Q42" s="1">
        <v>366800</v>
      </c>
      <c r="R42" s="1">
        <v>166800</v>
      </c>
    </row>
    <row r="43" spans="1:18" x14ac:dyDescent="0.2">
      <c r="A43" t="s">
        <v>1074</v>
      </c>
      <c r="B43" s="1">
        <v>13510</v>
      </c>
      <c r="C43" s="1">
        <v>489100</v>
      </c>
      <c r="D43" s="46">
        <v>156400</v>
      </c>
      <c r="E43" s="1">
        <v>2523000</v>
      </c>
      <c r="F43" t="s">
        <v>1027</v>
      </c>
      <c r="G43" s="1">
        <v>4763000</v>
      </c>
      <c r="H43" s="1">
        <v>158400</v>
      </c>
      <c r="I43" s="1">
        <v>199500</v>
      </c>
      <c r="J43" s="1">
        <v>6483000</v>
      </c>
      <c r="K43" s="1">
        <v>1836000</v>
      </c>
      <c r="L43" s="1">
        <v>404200</v>
      </c>
      <c r="M43" s="1">
        <v>1700000</v>
      </c>
      <c r="N43" s="1">
        <v>5947000</v>
      </c>
      <c r="O43" s="1">
        <v>78040</v>
      </c>
      <c r="P43" s="1">
        <v>554800</v>
      </c>
      <c r="Q43" t="s">
        <v>1027</v>
      </c>
      <c r="R43" t="s">
        <v>1027</v>
      </c>
    </row>
    <row r="44" spans="1:18" x14ac:dyDescent="0.2">
      <c r="A44" t="s">
        <v>1075</v>
      </c>
      <c r="B44" s="1">
        <v>16300</v>
      </c>
      <c r="C44" s="1">
        <v>435600</v>
      </c>
      <c r="D44" s="46">
        <v>175000</v>
      </c>
      <c r="E44" s="1">
        <v>2731000</v>
      </c>
      <c r="F44" t="s">
        <v>1027</v>
      </c>
      <c r="G44" s="1">
        <v>4493000</v>
      </c>
      <c r="H44" s="1">
        <v>205600</v>
      </c>
      <c r="I44" s="1">
        <v>227900</v>
      </c>
      <c r="J44" s="1">
        <v>6663000</v>
      </c>
      <c r="K44" s="1">
        <v>1609000</v>
      </c>
      <c r="L44" s="1">
        <v>371100</v>
      </c>
      <c r="M44" s="1">
        <v>1704000</v>
      </c>
      <c r="N44" s="1">
        <v>4088000</v>
      </c>
      <c r="O44" s="1">
        <v>83950</v>
      </c>
      <c r="P44" s="1">
        <v>496700</v>
      </c>
      <c r="Q44" s="1">
        <v>417300</v>
      </c>
      <c r="R44" s="1">
        <v>82990</v>
      </c>
    </row>
    <row r="45" spans="1:18" x14ac:dyDescent="0.2">
      <c r="A45" t="s">
        <v>1076</v>
      </c>
      <c r="B45" s="1">
        <v>13670</v>
      </c>
      <c r="C45" s="1">
        <v>477100</v>
      </c>
      <c r="D45" s="46">
        <v>151500</v>
      </c>
      <c r="E45" s="1">
        <v>2868000</v>
      </c>
      <c r="F45" t="s">
        <v>1027</v>
      </c>
      <c r="G45" s="1">
        <v>4679000</v>
      </c>
      <c r="H45" s="1">
        <v>153200</v>
      </c>
      <c r="I45" s="1">
        <v>226700</v>
      </c>
      <c r="J45" s="1">
        <v>6531000</v>
      </c>
      <c r="K45" s="1">
        <v>1709000</v>
      </c>
      <c r="L45" s="1">
        <v>399400</v>
      </c>
      <c r="M45" s="1">
        <v>1631000</v>
      </c>
      <c r="N45" s="1">
        <v>4417000</v>
      </c>
      <c r="O45" s="1">
        <v>76420</v>
      </c>
      <c r="P45" s="1">
        <v>470400</v>
      </c>
      <c r="Q45" t="s">
        <v>1027</v>
      </c>
      <c r="R45" t="s">
        <v>1027</v>
      </c>
    </row>
    <row r="46" spans="1:18" x14ac:dyDescent="0.2">
      <c r="A46" t="s">
        <v>1077</v>
      </c>
      <c r="B46" s="1">
        <v>7453</v>
      </c>
      <c r="C46" s="1">
        <v>334700</v>
      </c>
      <c r="D46" s="46">
        <v>5219000</v>
      </c>
      <c r="E46" s="1">
        <v>2263000</v>
      </c>
      <c r="F46" t="s">
        <v>1027</v>
      </c>
      <c r="G46" s="1">
        <v>4825000</v>
      </c>
      <c r="H46" s="1">
        <v>5227000</v>
      </c>
      <c r="I46" s="1">
        <v>225800</v>
      </c>
      <c r="J46" s="1">
        <v>6030000</v>
      </c>
      <c r="K46" s="1">
        <v>853700</v>
      </c>
      <c r="L46" s="1">
        <v>367200</v>
      </c>
      <c r="M46" s="1">
        <v>2068000</v>
      </c>
      <c r="N46" s="1">
        <v>3529000</v>
      </c>
      <c r="O46" s="1">
        <v>17540</v>
      </c>
      <c r="P46" s="1">
        <v>774700</v>
      </c>
      <c r="Q46" s="1">
        <v>387900</v>
      </c>
      <c r="R46" s="1">
        <v>191900</v>
      </c>
    </row>
    <row r="47" spans="1:18" x14ac:dyDescent="0.2">
      <c r="A47" t="s">
        <v>1078</v>
      </c>
      <c r="B47" s="1">
        <v>8243</v>
      </c>
      <c r="C47" s="1">
        <v>575000</v>
      </c>
      <c r="D47" s="46">
        <v>221400</v>
      </c>
      <c r="E47" s="1">
        <v>2417000</v>
      </c>
      <c r="F47" t="s">
        <v>1027</v>
      </c>
      <c r="G47" s="1">
        <v>4368000</v>
      </c>
      <c r="H47" s="1">
        <v>239800</v>
      </c>
      <c r="I47" s="1">
        <v>283900</v>
      </c>
      <c r="J47" s="1">
        <v>6383000</v>
      </c>
      <c r="K47" s="1">
        <v>873400</v>
      </c>
      <c r="L47" s="1">
        <v>340400</v>
      </c>
      <c r="M47" s="1">
        <v>2368000</v>
      </c>
      <c r="N47" s="1">
        <v>1923000</v>
      </c>
      <c r="O47" s="1">
        <v>40880</v>
      </c>
      <c r="P47" s="1">
        <v>732100</v>
      </c>
      <c r="Q47" s="1">
        <v>425500</v>
      </c>
      <c r="R47" s="1">
        <v>208600</v>
      </c>
    </row>
    <row r="48" spans="1:18" x14ac:dyDescent="0.2">
      <c r="A48" t="s">
        <v>1079</v>
      </c>
      <c r="B48" s="1">
        <v>8665</v>
      </c>
      <c r="C48" s="1">
        <v>547500</v>
      </c>
      <c r="D48" s="46">
        <v>248300</v>
      </c>
      <c r="E48" s="1">
        <v>2594000</v>
      </c>
      <c r="F48" t="s">
        <v>1027</v>
      </c>
      <c r="G48" s="1">
        <v>4656000</v>
      </c>
      <c r="H48" s="1">
        <v>258600</v>
      </c>
      <c r="I48" s="1">
        <v>270900</v>
      </c>
      <c r="J48" s="1">
        <v>6831000</v>
      </c>
      <c r="K48" s="1">
        <v>849900</v>
      </c>
      <c r="L48" s="1">
        <v>354800</v>
      </c>
      <c r="M48" s="1">
        <v>2367000</v>
      </c>
      <c r="N48" s="1">
        <v>2074000</v>
      </c>
      <c r="O48" s="1">
        <v>16830</v>
      </c>
      <c r="P48" s="1">
        <v>714900</v>
      </c>
      <c r="Q48" s="1">
        <v>27750</v>
      </c>
      <c r="R48" t="s">
        <v>1027</v>
      </c>
    </row>
    <row r="49" spans="1:18" x14ac:dyDescent="0.2">
      <c r="A49" t="s">
        <v>1080</v>
      </c>
      <c r="B49" s="1">
        <v>21750</v>
      </c>
      <c r="C49" s="1">
        <v>1523000</v>
      </c>
      <c r="D49" s="46">
        <v>396900</v>
      </c>
      <c r="E49" s="1">
        <v>4205000</v>
      </c>
      <c r="F49" t="s">
        <v>1027</v>
      </c>
      <c r="G49" s="1">
        <v>4774000</v>
      </c>
      <c r="H49" s="1">
        <v>400500</v>
      </c>
      <c r="I49" s="1">
        <v>338100</v>
      </c>
      <c r="J49" s="1">
        <v>9528000</v>
      </c>
      <c r="K49" s="1">
        <v>4052000</v>
      </c>
      <c r="L49" s="1">
        <v>814400</v>
      </c>
      <c r="M49" s="1">
        <v>2184000</v>
      </c>
      <c r="N49" s="1">
        <v>2596000</v>
      </c>
      <c r="O49" s="1">
        <v>143100</v>
      </c>
      <c r="P49" s="1">
        <v>967300</v>
      </c>
      <c r="Q49" t="s">
        <v>1027</v>
      </c>
      <c r="R49" t="s">
        <v>1027</v>
      </c>
    </row>
    <row r="50" spans="1:18" x14ac:dyDescent="0.2">
      <c r="A50" t="s">
        <v>1081</v>
      </c>
      <c r="B50" s="1">
        <v>16290</v>
      </c>
      <c r="C50" s="1">
        <v>430900</v>
      </c>
      <c r="D50" s="46">
        <v>197300</v>
      </c>
      <c r="E50" s="1">
        <v>2940000</v>
      </c>
      <c r="F50" t="s">
        <v>1027</v>
      </c>
      <c r="G50" s="1">
        <v>4441000</v>
      </c>
      <c r="H50" s="1">
        <v>226700</v>
      </c>
      <c r="I50" s="1">
        <v>228000</v>
      </c>
      <c r="J50" s="1">
        <v>6952000</v>
      </c>
      <c r="K50" s="1">
        <v>1673000</v>
      </c>
      <c r="L50" s="1">
        <v>327700</v>
      </c>
      <c r="M50" s="1">
        <v>1709000</v>
      </c>
      <c r="N50" s="1">
        <v>4126000</v>
      </c>
      <c r="O50" s="1">
        <v>65470</v>
      </c>
      <c r="P50" s="1">
        <v>456700</v>
      </c>
      <c r="Q50" s="1">
        <v>454800</v>
      </c>
      <c r="R50" s="1">
        <v>61400</v>
      </c>
    </row>
    <row r="51" spans="1:18" x14ac:dyDescent="0.2">
      <c r="A51" t="s">
        <v>1082</v>
      </c>
      <c r="B51" s="1">
        <v>19510</v>
      </c>
      <c r="C51" s="1">
        <v>1548000</v>
      </c>
      <c r="D51" s="46">
        <v>339100</v>
      </c>
      <c r="E51" s="1">
        <v>4322000</v>
      </c>
      <c r="F51" t="s">
        <v>1027</v>
      </c>
      <c r="G51" s="1">
        <v>4620000</v>
      </c>
      <c r="H51" s="1">
        <v>296300</v>
      </c>
      <c r="I51" s="1">
        <v>363200</v>
      </c>
      <c r="J51" s="1">
        <v>9284000</v>
      </c>
      <c r="K51" s="1">
        <v>4215000</v>
      </c>
      <c r="L51" s="1">
        <v>786600</v>
      </c>
      <c r="M51" s="1">
        <v>1659000</v>
      </c>
      <c r="N51" s="1">
        <v>2799000</v>
      </c>
      <c r="O51" s="1">
        <v>92590</v>
      </c>
      <c r="P51" s="1">
        <v>898700</v>
      </c>
      <c r="Q51" t="s">
        <v>1027</v>
      </c>
      <c r="R51" t="s">
        <v>1027</v>
      </c>
    </row>
    <row r="52" spans="1:18" x14ac:dyDescent="0.2">
      <c r="A52" t="s">
        <v>1083</v>
      </c>
      <c r="B52" s="1">
        <v>7100</v>
      </c>
      <c r="C52" s="1">
        <v>303700</v>
      </c>
      <c r="D52" s="46">
        <v>10280000</v>
      </c>
      <c r="E52" s="1">
        <v>2376000</v>
      </c>
      <c r="F52" t="s">
        <v>1027</v>
      </c>
      <c r="G52" s="1">
        <v>4491000</v>
      </c>
      <c r="H52" s="1">
        <v>10030000</v>
      </c>
      <c r="I52" s="1">
        <v>221800</v>
      </c>
      <c r="J52" s="1">
        <v>6481000</v>
      </c>
      <c r="K52" s="1">
        <v>849900</v>
      </c>
      <c r="L52" s="1">
        <v>357600</v>
      </c>
      <c r="M52" s="1">
        <v>2247000</v>
      </c>
      <c r="N52" s="1">
        <v>2232000</v>
      </c>
      <c r="O52" s="1">
        <v>15830</v>
      </c>
      <c r="P52" s="1">
        <v>731800</v>
      </c>
      <c r="Q52" s="1">
        <v>60030</v>
      </c>
      <c r="R52" t="s">
        <v>1027</v>
      </c>
    </row>
    <row r="53" spans="1:18" x14ac:dyDescent="0.2">
      <c r="A53" t="s">
        <v>1084</v>
      </c>
      <c r="B53" s="1">
        <v>9817</v>
      </c>
      <c r="C53" s="1">
        <v>1271000</v>
      </c>
      <c r="D53" s="46">
        <v>22430000</v>
      </c>
      <c r="E53" s="1">
        <v>3573000</v>
      </c>
      <c r="F53" t="s">
        <v>1027</v>
      </c>
      <c r="G53" s="1">
        <v>4859000</v>
      </c>
      <c r="H53" s="1">
        <v>22820000</v>
      </c>
      <c r="I53" s="1">
        <v>326300</v>
      </c>
      <c r="J53" s="1">
        <v>8606000</v>
      </c>
      <c r="K53" s="1">
        <v>1698000</v>
      </c>
      <c r="L53" s="1">
        <v>688400</v>
      </c>
      <c r="M53" s="1">
        <v>2946000</v>
      </c>
      <c r="N53" s="1">
        <v>1558000</v>
      </c>
      <c r="O53" s="1">
        <v>21360</v>
      </c>
      <c r="P53" s="1">
        <v>1428000</v>
      </c>
      <c r="Q53" s="1">
        <v>642300</v>
      </c>
      <c r="R53" s="1">
        <v>282200</v>
      </c>
    </row>
    <row r="54" spans="1:18" x14ac:dyDescent="0.2">
      <c r="A54" t="s">
        <v>1085</v>
      </c>
      <c r="B54" s="1">
        <v>7558</v>
      </c>
      <c r="C54" s="1">
        <v>342700</v>
      </c>
      <c r="D54" s="46">
        <v>10740000</v>
      </c>
      <c r="E54" s="1">
        <v>2278000</v>
      </c>
      <c r="F54" t="s">
        <v>1027</v>
      </c>
      <c r="G54" s="1">
        <v>4756000</v>
      </c>
      <c r="H54" s="1">
        <v>10750000</v>
      </c>
      <c r="I54" s="1">
        <v>239900</v>
      </c>
      <c r="J54" s="1">
        <v>6522000</v>
      </c>
      <c r="K54" s="1">
        <v>787800</v>
      </c>
      <c r="L54" s="1">
        <v>368600</v>
      </c>
      <c r="M54" s="1">
        <v>2323000</v>
      </c>
      <c r="N54" s="1">
        <v>3123000</v>
      </c>
      <c r="O54" s="1">
        <v>14010</v>
      </c>
      <c r="P54" s="1">
        <v>727800</v>
      </c>
      <c r="Q54" s="1">
        <v>393400</v>
      </c>
      <c r="R54" s="1">
        <v>200400</v>
      </c>
    </row>
    <row r="55" spans="1:18" x14ac:dyDescent="0.2">
      <c r="A55" t="s">
        <v>1086</v>
      </c>
      <c r="B55" s="1">
        <v>13910</v>
      </c>
      <c r="C55" s="1">
        <v>331700</v>
      </c>
      <c r="D55" s="46">
        <v>12280000</v>
      </c>
      <c r="E55" s="1">
        <v>2827000</v>
      </c>
      <c r="F55" t="s">
        <v>1027</v>
      </c>
      <c r="G55" s="1">
        <v>4374000</v>
      </c>
      <c r="H55" s="1">
        <v>12290000</v>
      </c>
      <c r="I55" s="1">
        <v>204200</v>
      </c>
      <c r="J55" s="1">
        <v>6123000</v>
      </c>
      <c r="K55" s="1">
        <v>1528000</v>
      </c>
      <c r="L55" s="1">
        <v>409500</v>
      </c>
      <c r="M55" s="1">
        <v>1430000</v>
      </c>
      <c r="N55" s="1">
        <v>4676000</v>
      </c>
      <c r="O55" s="1">
        <v>53120</v>
      </c>
      <c r="P55" s="1">
        <v>436700</v>
      </c>
      <c r="Q55" t="s">
        <v>1027</v>
      </c>
      <c r="R55" t="s">
        <v>1027</v>
      </c>
    </row>
    <row r="56" spans="1:18" x14ac:dyDescent="0.2">
      <c r="A56" t="s">
        <v>1087</v>
      </c>
      <c r="B56" s="1">
        <v>18870</v>
      </c>
      <c r="C56" s="1">
        <v>1051000</v>
      </c>
      <c r="D56" s="46">
        <v>24940000</v>
      </c>
      <c r="E56" s="1">
        <v>4607000</v>
      </c>
      <c r="F56" t="s">
        <v>1027</v>
      </c>
      <c r="G56" s="1">
        <v>4481000</v>
      </c>
      <c r="H56" s="1">
        <v>24960000</v>
      </c>
      <c r="I56" s="1">
        <v>383500</v>
      </c>
      <c r="J56" s="1">
        <v>9024000</v>
      </c>
      <c r="K56" s="1">
        <v>3705000</v>
      </c>
      <c r="L56" s="1">
        <v>881200</v>
      </c>
      <c r="M56" s="1">
        <v>1725000</v>
      </c>
      <c r="N56" s="1">
        <v>3018000</v>
      </c>
      <c r="O56" s="1">
        <v>106600</v>
      </c>
      <c r="P56" s="1">
        <v>967400</v>
      </c>
      <c r="Q56" t="s">
        <v>1027</v>
      </c>
      <c r="R56" t="s">
        <v>1027</v>
      </c>
    </row>
    <row r="57" spans="1:18" x14ac:dyDescent="0.2">
      <c r="A57" t="s">
        <v>1088</v>
      </c>
      <c r="B57" s="1">
        <v>14100</v>
      </c>
      <c r="C57" s="1">
        <v>364000</v>
      </c>
      <c r="D57" s="46">
        <v>12380000</v>
      </c>
      <c r="E57" s="1">
        <v>2787000</v>
      </c>
      <c r="F57" t="s">
        <v>1027</v>
      </c>
      <c r="G57" s="1">
        <v>4495000</v>
      </c>
      <c r="H57" s="1">
        <v>12390000</v>
      </c>
      <c r="I57" s="1">
        <v>228700</v>
      </c>
      <c r="J57" s="1">
        <v>6549000</v>
      </c>
      <c r="K57" s="1">
        <v>1705000</v>
      </c>
      <c r="L57" s="1">
        <v>396000</v>
      </c>
      <c r="M57" s="1">
        <v>1603000</v>
      </c>
      <c r="N57" s="1">
        <v>3288000</v>
      </c>
      <c r="O57" s="1">
        <v>56440</v>
      </c>
      <c r="P57" s="1">
        <v>513600</v>
      </c>
      <c r="Q57" t="s">
        <v>1027</v>
      </c>
      <c r="R57" t="s">
        <v>1027</v>
      </c>
    </row>
    <row r="58" spans="1:18" x14ac:dyDescent="0.2">
      <c r="A58" t="s">
        <v>1089</v>
      </c>
      <c r="B58" s="1">
        <v>14790</v>
      </c>
      <c r="C58" s="1">
        <v>1961000</v>
      </c>
      <c r="D58" s="46">
        <v>439600</v>
      </c>
      <c r="E58" s="1">
        <v>3837000</v>
      </c>
      <c r="F58" t="s">
        <v>1027</v>
      </c>
      <c r="G58" s="1">
        <v>5505000</v>
      </c>
      <c r="H58" s="1">
        <v>559800</v>
      </c>
      <c r="I58" s="1">
        <v>315500</v>
      </c>
      <c r="J58" s="1">
        <v>9294000</v>
      </c>
      <c r="K58" s="1">
        <v>1930000</v>
      </c>
      <c r="L58" s="1">
        <v>734800</v>
      </c>
      <c r="M58" s="1">
        <v>2633000</v>
      </c>
      <c r="N58" s="1">
        <v>2245000</v>
      </c>
      <c r="O58" s="1">
        <v>62630</v>
      </c>
      <c r="P58" s="1">
        <v>1376000</v>
      </c>
      <c r="Q58" s="1">
        <v>759100</v>
      </c>
      <c r="R58" t="s">
        <v>1027</v>
      </c>
    </row>
    <row r="59" spans="1:18" x14ac:dyDescent="0.2">
      <c r="A59" t="s">
        <v>1090</v>
      </c>
      <c r="B59" s="1">
        <v>8322</v>
      </c>
      <c r="C59" s="1">
        <v>489600</v>
      </c>
      <c r="D59" s="46">
        <v>206800</v>
      </c>
      <c r="E59" s="1">
        <v>2185000</v>
      </c>
      <c r="F59" t="s">
        <v>1027</v>
      </c>
      <c r="G59" s="1">
        <v>4466000</v>
      </c>
      <c r="H59" s="1">
        <v>211700</v>
      </c>
      <c r="I59" s="1">
        <v>328300</v>
      </c>
      <c r="J59" s="1">
        <v>6095000</v>
      </c>
      <c r="K59" s="1">
        <v>1139000</v>
      </c>
      <c r="L59" s="1">
        <v>341600</v>
      </c>
      <c r="M59" s="1">
        <v>2126000</v>
      </c>
      <c r="N59" s="1">
        <v>2305000</v>
      </c>
      <c r="O59" s="1">
        <v>32430</v>
      </c>
      <c r="P59" s="1">
        <v>724400</v>
      </c>
      <c r="Q59" s="1">
        <v>391600</v>
      </c>
      <c r="R59" s="1">
        <v>178300</v>
      </c>
    </row>
    <row r="60" spans="1:18" x14ac:dyDescent="0.2">
      <c r="A60" t="s">
        <v>1091</v>
      </c>
      <c r="B60" s="1">
        <v>12160</v>
      </c>
      <c r="C60" s="1">
        <v>1796000</v>
      </c>
      <c r="D60" s="46">
        <v>16900000</v>
      </c>
      <c r="E60" s="1">
        <v>3882000</v>
      </c>
      <c r="F60" t="s">
        <v>1027</v>
      </c>
      <c r="G60" s="1">
        <v>5061000</v>
      </c>
      <c r="H60" s="1">
        <v>16940000</v>
      </c>
      <c r="I60" s="1">
        <v>366300</v>
      </c>
      <c r="J60" s="1">
        <v>8936000</v>
      </c>
      <c r="K60" s="1">
        <v>1859000</v>
      </c>
      <c r="L60" s="1">
        <v>730400</v>
      </c>
      <c r="M60" s="1">
        <v>2905000</v>
      </c>
      <c r="N60" s="1">
        <v>2124000</v>
      </c>
      <c r="O60" s="1">
        <v>22360</v>
      </c>
      <c r="P60" s="1">
        <v>1418000</v>
      </c>
      <c r="Q60" s="1">
        <v>701600</v>
      </c>
      <c r="R60" s="1">
        <v>207600</v>
      </c>
    </row>
    <row r="61" spans="1:18" x14ac:dyDescent="0.2">
      <c r="A61" t="s">
        <v>1092</v>
      </c>
      <c r="B61" s="1">
        <v>19430</v>
      </c>
      <c r="C61" s="1">
        <v>1436000</v>
      </c>
      <c r="D61" s="46">
        <v>280300</v>
      </c>
      <c r="E61" s="1">
        <v>4304000</v>
      </c>
      <c r="F61" t="s">
        <v>1027</v>
      </c>
      <c r="G61" s="1">
        <v>5177000</v>
      </c>
      <c r="H61" s="1">
        <v>285400</v>
      </c>
      <c r="I61" s="1">
        <v>355000</v>
      </c>
      <c r="J61" s="1">
        <v>9495000</v>
      </c>
      <c r="K61" s="1">
        <v>3691000</v>
      </c>
      <c r="L61" s="1">
        <v>848000</v>
      </c>
      <c r="M61" s="1">
        <v>2376000</v>
      </c>
      <c r="N61" s="1">
        <v>2994000</v>
      </c>
      <c r="O61" s="1">
        <v>111400</v>
      </c>
      <c r="P61" s="1">
        <v>893300</v>
      </c>
      <c r="Q61" t="s">
        <v>1027</v>
      </c>
      <c r="R61" t="s">
        <v>1027</v>
      </c>
    </row>
    <row r="62" spans="1:18" x14ac:dyDescent="0.2">
      <c r="A62" t="s">
        <v>1093</v>
      </c>
      <c r="B62" s="1">
        <v>11540</v>
      </c>
      <c r="C62" s="1">
        <v>491100</v>
      </c>
      <c r="D62" s="46">
        <v>165500</v>
      </c>
      <c r="E62" s="1">
        <v>2720000</v>
      </c>
      <c r="F62" t="s">
        <v>1027</v>
      </c>
      <c r="G62" s="1">
        <v>4741000</v>
      </c>
      <c r="H62" s="1">
        <v>167000</v>
      </c>
      <c r="I62" s="1">
        <v>232100</v>
      </c>
      <c r="J62" s="1">
        <v>6479000</v>
      </c>
      <c r="K62" s="1">
        <v>1644000</v>
      </c>
      <c r="L62" s="1">
        <v>383100</v>
      </c>
      <c r="M62" s="1">
        <v>1664000</v>
      </c>
      <c r="N62" s="1">
        <v>4916000</v>
      </c>
      <c r="O62" s="1">
        <v>68490</v>
      </c>
      <c r="P62" s="1">
        <v>495200</v>
      </c>
      <c r="Q62" t="s">
        <v>1027</v>
      </c>
      <c r="R62" t="s">
        <v>1027</v>
      </c>
    </row>
    <row r="63" spans="1:18" x14ac:dyDescent="0.2">
      <c r="A63" t="s">
        <v>1094</v>
      </c>
      <c r="B63" s="1">
        <v>12520</v>
      </c>
      <c r="C63" s="1">
        <v>427600</v>
      </c>
      <c r="D63" s="46">
        <v>141600</v>
      </c>
      <c r="E63" s="1">
        <v>2638000</v>
      </c>
      <c r="F63" t="s">
        <v>1027</v>
      </c>
      <c r="G63" s="1">
        <v>4499000</v>
      </c>
      <c r="H63" s="1">
        <v>143100</v>
      </c>
      <c r="I63" s="1">
        <v>200000</v>
      </c>
      <c r="J63" s="1">
        <v>6281000</v>
      </c>
      <c r="K63" s="1">
        <v>1536000</v>
      </c>
      <c r="L63" s="1">
        <v>361200</v>
      </c>
      <c r="M63" s="1">
        <v>1528000</v>
      </c>
      <c r="N63" s="1">
        <v>5540000</v>
      </c>
      <c r="O63" s="1">
        <v>66850</v>
      </c>
      <c r="P63" s="1">
        <v>477400</v>
      </c>
      <c r="Q63" s="1">
        <v>292800</v>
      </c>
      <c r="R63" s="1">
        <v>32820</v>
      </c>
    </row>
    <row r="64" spans="1:18" x14ac:dyDescent="0.2">
      <c r="A64" t="s">
        <v>1095</v>
      </c>
      <c r="B64" s="1">
        <v>12860</v>
      </c>
      <c r="C64" s="1">
        <v>2039000</v>
      </c>
      <c r="D64" s="46">
        <v>462100</v>
      </c>
      <c r="E64" s="1">
        <v>3842000</v>
      </c>
      <c r="F64" t="s">
        <v>1027</v>
      </c>
      <c r="G64" s="1">
        <v>4352000</v>
      </c>
      <c r="H64" s="1">
        <v>630300</v>
      </c>
      <c r="I64" s="1">
        <v>328900</v>
      </c>
      <c r="J64" s="1">
        <v>8133000</v>
      </c>
      <c r="K64" s="1">
        <v>1959000</v>
      </c>
      <c r="L64" s="1">
        <v>694200</v>
      </c>
      <c r="M64" s="1">
        <v>1356000</v>
      </c>
      <c r="N64" s="1">
        <v>1865000</v>
      </c>
      <c r="O64" s="1">
        <v>60690</v>
      </c>
      <c r="P64" s="1">
        <v>1316000</v>
      </c>
      <c r="Q64" s="1">
        <v>505900</v>
      </c>
      <c r="R64" t="s">
        <v>1027</v>
      </c>
    </row>
    <row r="65" spans="1:18" x14ac:dyDescent="0.2">
      <c r="A65" t="s">
        <v>1096</v>
      </c>
      <c r="B65" s="1">
        <v>7240</v>
      </c>
      <c r="C65" s="1">
        <v>381600</v>
      </c>
      <c r="D65" s="46">
        <v>174300</v>
      </c>
      <c r="E65" s="1">
        <v>2321000</v>
      </c>
      <c r="F65" t="s">
        <v>1027</v>
      </c>
      <c r="G65" s="1">
        <v>4605000</v>
      </c>
      <c r="H65" s="1">
        <v>202500</v>
      </c>
      <c r="I65" s="1">
        <v>243500</v>
      </c>
      <c r="J65" s="1">
        <v>6183000</v>
      </c>
      <c r="K65" s="1">
        <v>797000</v>
      </c>
      <c r="L65" s="1">
        <v>324100</v>
      </c>
      <c r="M65" s="1">
        <v>2057000</v>
      </c>
      <c r="N65" s="1">
        <v>2745000</v>
      </c>
      <c r="O65" s="1">
        <v>24960</v>
      </c>
      <c r="P65" s="1">
        <v>635000</v>
      </c>
      <c r="Q65" s="1">
        <v>410500</v>
      </c>
      <c r="R65" s="1">
        <v>184100</v>
      </c>
    </row>
    <row r="66" spans="1:18" x14ac:dyDescent="0.2">
      <c r="A66" t="s">
        <v>1097</v>
      </c>
      <c r="B66" s="1">
        <v>6782</v>
      </c>
      <c r="C66" s="1">
        <v>294900</v>
      </c>
      <c r="D66" s="46">
        <v>8788000</v>
      </c>
      <c r="E66" s="1">
        <v>2284000</v>
      </c>
      <c r="F66" t="s">
        <v>1027</v>
      </c>
      <c r="G66" s="1">
        <v>4823000</v>
      </c>
      <c r="H66" s="1">
        <v>8810000</v>
      </c>
      <c r="I66" s="1">
        <v>233300</v>
      </c>
      <c r="J66" s="1">
        <v>6318000</v>
      </c>
      <c r="K66" s="1">
        <v>757100</v>
      </c>
      <c r="L66" s="1">
        <v>349100</v>
      </c>
      <c r="M66" s="1">
        <v>1812000</v>
      </c>
      <c r="N66" s="1">
        <v>3967000</v>
      </c>
      <c r="O66" s="1">
        <v>11970</v>
      </c>
      <c r="P66" s="1">
        <v>710100</v>
      </c>
      <c r="Q66" s="1">
        <v>414200</v>
      </c>
      <c r="R66" s="1">
        <v>158800</v>
      </c>
    </row>
    <row r="67" spans="1:18" x14ac:dyDescent="0.2">
      <c r="A67" t="s">
        <v>1098</v>
      </c>
      <c r="B67" s="1">
        <v>13620</v>
      </c>
      <c r="C67" s="1">
        <v>434500</v>
      </c>
      <c r="D67" s="46">
        <v>138500</v>
      </c>
      <c r="E67" s="1">
        <v>2680000</v>
      </c>
      <c r="F67" t="s">
        <v>1027</v>
      </c>
      <c r="G67" s="1">
        <v>4697000</v>
      </c>
      <c r="H67" s="1">
        <v>139100</v>
      </c>
      <c r="I67" s="1">
        <v>208600</v>
      </c>
      <c r="J67" s="1">
        <v>6372000</v>
      </c>
      <c r="K67" s="1">
        <v>1570000</v>
      </c>
      <c r="L67" s="1">
        <v>344900</v>
      </c>
      <c r="M67" s="1">
        <v>1579000</v>
      </c>
      <c r="N67" s="1">
        <v>4460000</v>
      </c>
      <c r="O67" s="1">
        <v>50880</v>
      </c>
      <c r="P67" s="1">
        <v>379200</v>
      </c>
      <c r="Q67" t="s">
        <v>1027</v>
      </c>
      <c r="R67" t="s">
        <v>1027</v>
      </c>
    </row>
    <row r="68" spans="1:18" x14ac:dyDescent="0.2">
      <c r="A68" t="s">
        <v>1099</v>
      </c>
      <c r="B68" s="1">
        <v>20140</v>
      </c>
      <c r="C68" s="1">
        <v>1628000</v>
      </c>
      <c r="D68" s="46">
        <v>360200</v>
      </c>
      <c r="E68" s="1">
        <v>4271000</v>
      </c>
      <c r="F68" t="s">
        <v>1027</v>
      </c>
      <c r="G68" s="1">
        <v>5191000</v>
      </c>
      <c r="H68" s="1">
        <v>363800</v>
      </c>
      <c r="I68" s="1">
        <v>365800</v>
      </c>
      <c r="J68" s="1">
        <v>9203000</v>
      </c>
      <c r="K68" s="1">
        <v>3588000</v>
      </c>
      <c r="L68" s="1">
        <v>821400</v>
      </c>
      <c r="M68" s="1">
        <v>2087000</v>
      </c>
      <c r="N68" s="1">
        <v>3014000</v>
      </c>
      <c r="O68" s="1">
        <v>103300</v>
      </c>
      <c r="P68" s="1">
        <v>958400</v>
      </c>
      <c r="Q68" t="s">
        <v>1027</v>
      </c>
      <c r="R68" t="s">
        <v>1027</v>
      </c>
    </row>
    <row r="69" spans="1:18" x14ac:dyDescent="0.2">
      <c r="A69" t="s">
        <v>1100</v>
      </c>
      <c r="B69" s="1">
        <v>23840</v>
      </c>
      <c r="C69" s="1">
        <v>1435000</v>
      </c>
      <c r="D69" s="46">
        <v>292000</v>
      </c>
      <c r="E69" s="1">
        <v>4171000</v>
      </c>
      <c r="F69" t="s">
        <v>1027</v>
      </c>
      <c r="G69" s="1">
        <v>5514000</v>
      </c>
      <c r="H69" s="1">
        <v>297600</v>
      </c>
      <c r="I69" s="1">
        <v>366300</v>
      </c>
      <c r="J69" s="1">
        <v>9158000</v>
      </c>
      <c r="K69" s="1">
        <v>2886000</v>
      </c>
      <c r="L69" s="1">
        <v>730000</v>
      </c>
      <c r="M69" s="1">
        <v>2346000</v>
      </c>
      <c r="N69" s="1">
        <v>3249000</v>
      </c>
      <c r="O69" s="1">
        <v>95780</v>
      </c>
      <c r="P69" s="1">
        <v>823400</v>
      </c>
      <c r="Q69" s="1">
        <v>591700</v>
      </c>
      <c r="R69" s="1">
        <v>77050</v>
      </c>
    </row>
    <row r="70" spans="1:18" x14ac:dyDescent="0.2">
      <c r="A70" t="s">
        <v>1101</v>
      </c>
      <c r="B70" s="1">
        <v>8216</v>
      </c>
      <c r="C70" s="1">
        <v>441700</v>
      </c>
      <c r="D70" s="46">
        <v>339600</v>
      </c>
      <c r="E70" s="1">
        <v>2184000</v>
      </c>
      <c r="F70" t="s">
        <v>1027</v>
      </c>
      <c r="G70" s="1">
        <v>4899000</v>
      </c>
      <c r="H70" s="1">
        <v>349500</v>
      </c>
      <c r="I70" s="1">
        <v>252700</v>
      </c>
      <c r="J70" s="1">
        <v>6696000</v>
      </c>
      <c r="K70" s="1">
        <v>943900</v>
      </c>
      <c r="L70" s="1">
        <v>383400</v>
      </c>
      <c r="M70" s="1">
        <v>2476000</v>
      </c>
      <c r="N70" s="1">
        <v>2860000</v>
      </c>
      <c r="O70" s="1">
        <v>24450</v>
      </c>
      <c r="P70" s="1">
        <v>742100</v>
      </c>
      <c r="Q70" s="1">
        <v>384500</v>
      </c>
      <c r="R70" s="1">
        <v>229300</v>
      </c>
    </row>
    <row r="71" spans="1:18" x14ac:dyDescent="0.2">
      <c r="A71" t="s">
        <v>1102</v>
      </c>
      <c r="B71" s="1">
        <v>11260</v>
      </c>
      <c r="C71" s="1">
        <v>1581000</v>
      </c>
      <c r="D71" s="46">
        <v>410900</v>
      </c>
      <c r="E71" s="1">
        <v>3485000</v>
      </c>
      <c r="F71" t="s">
        <v>1027</v>
      </c>
      <c r="G71" s="1">
        <v>5422000</v>
      </c>
      <c r="H71" s="1">
        <v>504100</v>
      </c>
      <c r="I71" s="1">
        <v>285900</v>
      </c>
      <c r="J71" s="1">
        <v>8704000</v>
      </c>
      <c r="K71" s="1">
        <v>1824000</v>
      </c>
      <c r="L71" s="1">
        <v>760800</v>
      </c>
      <c r="M71" s="1">
        <v>3073000</v>
      </c>
      <c r="N71" s="1">
        <v>1783000</v>
      </c>
      <c r="O71" s="1">
        <v>51840</v>
      </c>
      <c r="P71" s="1">
        <v>1374000</v>
      </c>
      <c r="Q71" s="1">
        <v>632200</v>
      </c>
      <c r="R71" s="1">
        <v>287200</v>
      </c>
    </row>
    <row r="72" spans="1:18" x14ac:dyDescent="0.2">
      <c r="A72" t="s">
        <v>1103</v>
      </c>
      <c r="B72" s="1">
        <v>7048</v>
      </c>
      <c r="C72" s="1">
        <v>330700</v>
      </c>
      <c r="D72" s="46">
        <v>9003000</v>
      </c>
      <c r="E72" s="1">
        <v>2269000</v>
      </c>
      <c r="F72" t="s">
        <v>1027</v>
      </c>
      <c r="G72" s="1">
        <v>4702000</v>
      </c>
      <c r="H72" s="1">
        <v>9118000</v>
      </c>
      <c r="I72" s="1">
        <v>225700</v>
      </c>
      <c r="J72" s="1">
        <v>6613000</v>
      </c>
      <c r="K72" s="1">
        <v>855200</v>
      </c>
      <c r="L72" s="1">
        <v>366700</v>
      </c>
      <c r="M72" s="1">
        <v>2291000</v>
      </c>
      <c r="N72" s="1">
        <v>3121000</v>
      </c>
      <c r="O72" s="1">
        <v>15290</v>
      </c>
      <c r="P72" s="1">
        <v>727800</v>
      </c>
      <c r="Q72" s="1">
        <v>396300</v>
      </c>
      <c r="R72" s="1">
        <v>183800</v>
      </c>
    </row>
    <row r="73" spans="1:18" x14ac:dyDescent="0.2">
      <c r="A73" t="s">
        <v>1104</v>
      </c>
      <c r="B73" s="1">
        <v>14950</v>
      </c>
      <c r="C73" s="1">
        <v>421900</v>
      </c>
      <c r="D73" s="46">
        <v>157300</v>
      </c>
      <c r="E73" s="1">
        <v>2734000</v>
      </c>
      <c r="F73" t="s">
        <v>1027</v>
      </c>
      <c r="G73" s="1">
        <v>4724000</v>
      </c>
      <c r="H73" s="1">
        <v>158400</v>
      </c>
      <c r="I73" s="1">
        <v>208600</v>
      </c>
      <c r="J73" s="1">
        <v>6571000</v>
      </c>
      <c r="K73" s="1">
        <v>1514000</v>
      </c>
      <c r="L73" s="1">
        <v>325000</v>
      </c>
      <c r="M73" s="1">
        <v>1601000</v>
      </c>
      <c r="N73" s="1">
        <v>4172000</v>
      </c>
      <c r="O73" s="1">
        <v>61490</v>
      </c>
      <c r="P73" s="1">
        <v>463500</v>
      </c>
      <c r="Q73" s="1">
        <v>494500</v>
      </c>
      <c r="R73" s="1">
        <v>80510</v>
      </c>
    </row>
    <row r="74" spans="1:18" x14ac:dyDescent="0.2">
      <c r="A74" t="s">
        <v>1105</v>
      </c>
      <c r="B74" s="1">
        <v>13960</v>
      </c>
      <c r="C74" s="1">
        <v>524600</v>
      </c>
      <c r="D74" s="46">
        <v>160700</v>
      </c>
      <c r="E74" s="1">
        <v>2658000</v>
      </c>
      <c r="F74" t="s">
        <v>1027</v>
      </c>
      <c r="G74" s="1">
        <v>4438000</v>
      </c>
      <c r="H74" s="1">
        <v>162000</v>
      </c>
      <c r="I74" s="1">
        <v>228100</v>
      </c>
      <c r="J74" s="1">
        <v>6367000</v>
      </c>
      <c r="K74" s="1">
        <v>1560000</v>
      </c>
      <c r="L74" s="1">
        <v>332700</v>
      </c>
      <c r="M74" s="1">
        <v>1498000</v>
      </c>
      <c r="N74" s="1">
        <v>3536000</v>
      </c>
      <c r="O74" s="1">
        <v>59270</v>
      </c>
      <c r="P74" s="1">
        <v>450700</v>
      </c>
      <c r="Q74" s="1">
        <v>451000</v>
      </c>
      <c r="R74" s="1">
        <v>48420</v>
      </c>
    </row>
    <row r="75" spans="1:18" x14ac:dyDescent="0.2">
      <c r="A75" t="s">
        <v>1106</v>
      </c>
      <c r="B75" s="1">
        <v>25690</v>
      </c>
      <c r="C75" s="1">
        <v>1546000</v>
      </c>
      <c r="D75" s="46">
        <v>370300</v>
      </c>
      <c r="E75" s="1">
        <v>4264000</v>
      </c>
      <c r="F75" t="s">
        <v>1027</v>
      </c>
      <c r="G75" s="1">
        <v>4478000</v>
      </c>
      <c r="H75" s="1">
        <v>375300</v>
      </c>
      <c r="I75" s="1">
        <v>378200</v>
      </c>
      <c r="J75" s="1">
        <v>8945000</v>
      </c>
      <c r="K75" s="1">
        <v>3270000</v>
      </c>
      <c r="L75" s="1">
        <v>740000</v>
      </c>
      <c r="M75" s="1">
        <v>1780000</v>
      </c>
      <c r="N75" s="1">
        <v>2426000</v>
      </c>
      <c r="O75" s="1">
        <v>100300</v>
      </c>
      <c r="P75" s="1">
        <v>890300</v>
      </c>
      <c r="Q75" s="1">
        <v>752600</v>
      </c>
      <c r="R75" s="1">
        <v>106200</v>
      </c>
    </row>
    <row r="76" spans="1:18" x14ac:dyDescent="0.2">
      <c r="A76" t="s">
        <v>1107</v>
      </c>
      <c r="B76" s="1">
        <v>5568</v>
      </c>
      <c r="C76" s="1">
        <v>345300</v>
      </c>
      <c r="D76" s="46">
        <v>6270000</v>
      </c>
      <c r="E76" s="1">
        <v>2144000</v>
      </c>
      <c r="F76" s="1">
        <v>1488000</v>
      </c>
      <c r="G76" s="1">
        <v>4365000</v>
      </c>
      <c r="H76" s="1">
        <v>6341000</v>
      </c>
      <c r="I76" s="1">
        <v>223700</v>
      </c>
      <c r="J76" s="1">
        <v>5887000</v>
      </c>
      <c r="K76" s="1">
        <v>796600</v>
      </c>
      <c r="L76" s="1">
        <v>352400</v>
      </c>
      <c r="M76" s="1">
        <v>2050000</v>
      </c>
      <c r="N76" s="1">
        <v>1975000</v>
      </c>
      <c r="O76" s="1">
        <v>47490</v>
      </c>
      <c r="P76" s="1">
        <v>727600</v>
      </c>
      <c r="Q76" s="1">
        <v>167300</v>
      </c>
      <c r="R76" t="s">
        <v>1027</v>
      </c>
    </row>
    <row r="77" spans="1:18" x14ac:dyDescent="0.2">
      <c r="A77" t="s">
        <v>1108</v>
      </c>
      <c r="B77" s="1">
        <v>7292</v>
      </c>
      <c r="C77" s="1">
        <v>367700</v>
      </c>
      <c r="D77" s="46">
        <v>184200</v>
      </c>
      <c r="E77" s="1">
        <v>2399000</v>
      </c>
      <c r="F77" s="1">
        <v>1752000</v>
      </c>
      <c r="G77" s="1">
        <v>4647000</v>
      </c>
      <c r="H77" s="1">
        <v>185900</v>
      </c>
      <c r="I77" s="1">
        <v>235300</v>
      </c>
      <c r="J77" s="1">
        <v>6097000</v>
      </c>
      <c r="K77" s="1">
        <v>845700</v>
      </c>
      <c r="L77" s="1">
        <v>354100</v>
      </c>
      <c r="M77" s="1">
        <v>1837000</v>
      </c>
      <c r="N77" s="1">
        <v>2053000</v>
      </c>
      <c r="O77" s="1">
        <v>57600</v>
      </c>
      <c r="P77" s="1">
        <v>780500</v>
      </c>
      <c r="Q77" s="1">
        <v>367800</v>
      </c>
      <c r="R77" s="1">
        <v>462300</v>
      </c>
    </row>
    <row r="78" spans="1:18" x14ac:dyDescent="0.2">
      <c r="A78" t="s">
        <v>1109</v>
      </c>
      <c r="B78" s="1">
        <v>7730</v>
      </c>
      <c r="C78" s="1">
        <v>507500</v>
      </c>
      <c r="D78" s="46">
        <v>9078000</v>
      </c>
      <c r="E78" s="1">
        <v>2441000</v>
      </c>
      <c r="F78" s="1">
        <v>1900000</v>
      </c>
      <c r="G78" s="1">
        <v>4448000</v>
      </c>
      <c r="H78" s="1">
        <v>9091000</v>
      </c>
      <c r="I78" s="1">
        <v>254900</v>
      </c>
      <c r="J78" s="1">
        <v>6678000</v>
      </c>
      <c r="K78" s="1">
        <v>834800</v>
      </c>
      <c r="L78" s="1">
        <v>357200</v>
      </c>
      <c r="M78" s="1">
        <v>2106000</v>
      </c>
      <c r="N78" s="1">
        <v>1971000</v>
      </c>
      <c r="O78" s="1">
        <v>59340</v>
      </c>
      <c r="P78" s="1">
        <v>728600</v>
      </c>
      <c r="Q78" s="1">
        <v>149400</v>
      </c>
      <c r="R78" t="s">
        <v>1027</v>
      </c>
    </row>
    <row r="79" spans="1:18" x14ac:dyDescent="0.2">
      <c r="A79" t="s">
        <v>1110</v>
      </c>
      <c r="B79" s="1">
        <v>20310</v>
      </c>
      <c r="C79" s="1">
        <v>1223000</v>
      </c>
      <c r="D79" s="46">
        <v>24720000</v>
      </c>
      <c r="E79" s="1">
        <v>4203000</v>
      </c>
      <c r="F79" s="1">
        <v>2236000</v>
      </c>
      <c r="G79" s="1">
        <v>3727000</v>
      </c>
      <c r="H79" s="1">
        <v>24740000</v>
      </c>
      <c r="I79" s="1">
        <v>379500</v>
      </c>
      <c r="J79" s="1">
        <v>7716000</v>
      </c>
      <c r="K79" s="1">
        <v>3327000</v>
      </c>
      <c r="L79" s="1">
        <v>789200</v>
      </c>
      <c r="M79" s="1">
        <v>954300</v>
      </c>
      <c r="N79" s="1">
        <v>2705000</v>
      </c>
      <c r="O79" s="1">
        <v>94600</v>
      </c>
      <c r="P79" s="1">
        <v>919500</v>
      </c>
      <c r="Q79" t="s">
        <v>1027</v>
      </c>
      <c r="R79" t="s">
        <v>1027</v>
      </c>
    </row>
    <row r="80" spans="1:18" x14ac:dyDescent="0.2">
      <c r="A80" t="s">
        <v>1111</v>
      </c>
      <c r="B80" s="1">
        <v>24250</v>
      </c>
      <c r="C80" s="1">
        <v>1192000</v>
      </c>
      <c r="D80" s="46">
        <v>23150000</v>
      </c>
      <c r="E80" s="1">
        <v>4170000</v>
      </c>
      <c r="F80" s="1">
        <v>2247000</v>
      </c>
      <c r="G80" s="1">
        <v>4618000</v>
      </c>
      <c r="H80" s="1">
        <v>23170000</v>
      </c>
      <c r="I80" s="1">
        <v>351800</v>
      </c>
      <c r="J80" s="1">
        <v>9018000</v>
      </c>
      <c r="K80" s="1">
        <v>2802000</v>
      </c>
      <c r="L80" s="1">
        <v>797800</v>
      </c>
      <c r="M80" s="1">
        <v>1798000</v>
      </c>
      <c r="N80" s="1">
        <v>2575000</v>
      </c>
      <c r="O80" s="1">
        <v>82540</v>
      </c>
      <c r="P80" s="1">
        <v>884200</v>
      </c>
      <c r="Q80" t="s">
        <v>1027</v>
      </c>
      <c r="R80" t="s">
        <v>1027</v>
      </c>
    </row>
    <row r="81" spans="1:18" x14ac:dyDescent="0.2">
      <c r="A81" t="s">
        <v>1112</v>
      </c>
      <c r="B81" s="1">
        <v>20090</v>
      </c>
      <c r="C81" s="1">
        <v>1187000</v>
      </c>
      <c r="D81" s="46">
        <v>28010000</v>
      </c>
      <c r="E81" s="1">
        <v>4730000</v>
      </c>
      <c r="F81" s="1">
        <v>3594000</v>
      </c>
      <c r="G81" s="1">
        <v>3815000</v>
      </c>
      <c r="H81" s="1">
        <v>28020000</v>
      </c>
      <c r="I81" s="1">
        <v>429000</v>
      </c>
      <c r="J81" s="1">
        <v>5003000</v>
      </c>
      <c r="K81" s="1">
        <v>3210000</v>
      </c>
      <c r="L81" s="1">
        <v>828000</v>
      </c>
      <c r="M81" s="1">
        <v>530400</v>
      </c>
      <c r="N81" s="1">
        <v>3662000</v>
      </c>
      <c r="O81" s="1">
        <v>84300</v>
      </c>
      <c r="P81" s="1">
        <v>921900</v>
      </c>
      <c r="Q81" t="s">
        <v>1027</v>
      </c>
      <c r="R81" t="s">
        <v>1027</v>
      </c>
    </row>
    <row r="82" spans="1:18" x14ac:dyDescent="0.2">
      <c r="A82" t="s">
        <v>1113</v>
      </c>
      <c r="B82" s="1">
        <v>7293</v>
      </c>
      <c r="C82" s="1">
        <v>336700</v>
      </c>
      <c r="D82" s="46">
        <v>7631000</v>
      </c>
      <c r="E82" s="1">
        <v>2351000</v>
      </c>
      <c r="F82" t="s">
        <v>1027</v>
      </c>
      <c r="G82" s="1">
        <v>4425000</v>
      </c>
      <c r="H82" s="1">
        <v>7639000</v>
      </c>
      <c r="I82" s="1">
        <v>227600</v>
      </c>
      <c r="J82" s="1">
        <v>6772000</v>
      </c>
      <c r="K82" s="1">
        <v>777200</v>
      </c>
      <c r="L82" s="1">
        <v>352800</v>
      </c>
      <c r="M82" s="1">
        <v>2173000</v>
      </c>
      <c r="N82" s="1">
        <v>2117000</v>
      </c>
      <c r="O82" s="1">
        <v>16200</v>
      </c>
      <c r="P82" s="1">
        <v>740800</v>
      </c>
      <c r="Q82" s="1">
        <v>427400</v>
      </c>
      <c r="R82" s="1">
        <v>159100</v>
      </c>
    </row>
    <row r="83" spans="1:18" x14ac:dyDescent="0.2">
      <c r="A83" t="s">
        <v>1114</v>
      </c>
      <c r="B83" s="1">
        <v>8360</v>
      </c>
      <c r="C83" s="1">
        <v>460300</v>
      </c>
      <c r="D83" s="46">
        <v>224600</v>
      </c>
      <c r="E83" s="1">
        <v>2451000</v>
      </c>
      <c r="F83" t="s">
        <v>1027</v>
      </c>
      <c r="G83" s="1">
        <v>4248000</v>
      </c>
      <c r="H83" s="1">
        <v>227000</v>
      </c>
      <c r="I83" s="1">
        <v>273300</v>
      </c>
      <c r="J83" s="1">
        <v>6769000</v>
      </c>
      <c r="K83" s="1">
        <v>938500</v>
      </c>
      <c r="L83" s="1">
        <v>365200</v>
      </c>
      <c r="M83" s="1">
        <v>2381000</v>
      </c>
      <c r="N83" s="1">
        <v>1770000</v>
      </c>
      <c r="O83" s="1">
        <v>32890</v>
      </c>
      <c r="P83" s="1">
        <v>799600</v>
      </c>
      <c r="Q83" s="1">
        <v>451500</v>
      </c>
      <c r="R83" s="1">
        <v>236100</v>
      </c>
    </row>
    <row r="84" spans="1:18" x14ac:dyDescent="0.2">
      <c r="A84" t="s">
        <v>1115</v>
      </c>
      <c r="B84" s="1">
        <v>13560</v>
      </c>
      <c r="C84" s="1">
        <v>1683000</v>
      </c>
      <c r="D84" s="46">
        <v>14490000</v>
      </c>
      <c r="E84" s="1">
        <v>4107000</v>
      </c>
      <c r="F84" t="s">
        <v>1027</v>
      </c>
      <c r="G84" s="1">
        <v>4515000</v>
      </c>
      <c r="H84" s="1">
        <v>14510000</v>
      </c>
      <c r="I84" s="1">
        <v>392700</v>
      </c>
      <c r="J84" s="1">
        <v>8501000</v>
      </c>
      <c r="K84" s="1">
        <v>1922000</v>
      </c>
      <c r="L84" s="1">
        <v>725200</v>
      </c>
      <c r="M84" s="1">
        <v>1363000</v>
      </c>
      <c r="N84" s="1">
        <v>2046000</v>
      </c>
      <c r="O84" s="1">
        <v>26480</v>
      </c>
      <c r="P84" s="1">
        <v>1480000</v>
      </c>
      <c r="Q84" s="1">
        <v>714700</v>
      </c>
      <c r="R84" s="1">
        <v>305900</v>
      </c>
    </row>
    <row r="85" spans="1:18" x14ac:dyDescent="0.2">
      <c r="A85" t="s">
        <v>1116</v>
      </c>
      <c r="B85" s="1">
        <v>15140</v>
      </c>
      <c r="C85" s="1">
        <v>477400</v>
      </c>
      <c r="D85" s="46">
        <v>155700</v>
      </c>
      <c r="E85" s="1">
        <v>2534000</v>
      </c>
      <c r="F85" t="s">
        <v>1027</v>
      </c>
      <c r="G85" s="1">
        <v>4677000</v>
      </c>
      <c r="H85" s="1">
        <v>156500</v>
      </c>
      <c r="I85" s="1">
        <v>249400</v>
      </c>
      <c r="J85" s="1">
        <v>6396000</v>
      </c>
      <c r="K85" s="1">
        <v>1929000</v>
      </c>
      <c r="L85" s="1">
        <v>420300</v>
      </c>
      <c r="M85" s="1">
        <v>1553000</v>
      </c>
      <c r="N85" s="1">
        <v>4192000</v>
      </c>
      <c r="O85" s="1">
        <v>66240</v>
      </c>
      <c r="P85" s="1">
        <v>521300</v>
      </c>
      <c r="Q85" t="s">
        <v>1027</v>
      </c>
      <c r="R85" t="s">
        <v>1027</v>
      </c>
    </row>
    <row r="86" spans="1:18" x14ac:dyDescent="0.2">
      <c r="A86" t="s">
        <v>1117</v>
      </c>
      <c r="B86" s="1">
        <v>28430</v>
      </c>
      <c r="C86" s="1">
        <v>1495000</v>
      </c>
      <c r="D86" s="46">
        <v>397500</v>
      </c>
      <c r="E86" s="1">
        <v>4250000</v>
      </c>
      <c r="F86" t="s">
        <v>1027</v>
      </c>
      <c r="G86" s="1">
        <v>4443000</v>
      </c>
      <c r="H86" s="1">
        <v>403600</v>
      </c>
      <c r="I86" s="1">
        <v>397300</v>
      </c>
      <c r="J86" s="1">
        <v>9406000</v>
      </c>
      <c r="K86" s="1">
        <v>3651000</v>
      </c>
      <c r="L86" s="1">
        <v>791300</v>
      </c>
      <c r="M86" s="1">
        <v>1523000</v>
      </c>
      <c r="N86" s="1">
        <v>2794000</v>
      </c>
      <c r="O86" s="1">
        <v>146900</v>
      </c>
      <c r="P86" s="1">
        <v>1023000</v>
      </c>
      <c r="Q86" s="1">
        <v>753500</v>
      </c>
      <c r="R86" s="1">
        <v>93900</v>
      </c>
    </row>
    <row r="87" spans="1:18" x14ac:dyDescent="0.2">
      <c r="A87" t="s">
        <v>1118</v>
      </c>
      <c r="B87" s="1">
        <v>25250</v>
      </c>
      <c r="C87" s="1">
        <v>1916000</v>
      </c>
      <c r="D87" s="46">
        <v>336700</v>
      </c>
      <c r="E87" s="1">
        <v>4569000</v>
      </c>
      <c r="F87" t="s">
        <v>1027</v>
      </c>
      <c r="G87" s="1">
        <v>3771000</v>
      </c>
      <c r="H87" s="1">
        <v>341700</v>
      </c>
      <c r="I87" s="1">
        <v>411400</v>
      </c>
      <c r="J87" s="1">
        <v>7433000</v>
      </c>
      <c r="K87" s="1">
        <v>3671000</v>
      </c>
      <c r="L87" s="1">
        <v>780600</v>
      </c>
      <c r="M87" s="1">
        <v>895700</v>
      </c>
      <c r="N87" s="1">
        <v>2779000</v>
      </c>
      <c r="O87" s="1">
        <v>63820</v>
      </c>
      <c r="P87" s="1">
        <v>885700</v>
      </c>
      <c r="Q87" t="s">
        <v>1027</v>
      </c>
      <c r="R87" t="s">
        <v>1027</v>
      </c>
    </row>
    <row r="88" spans="1:18" x14ac:dyDescent="0.2">
      <c r="A88" t="s">
        <v>1038</v>
      </c>
      <c r="B88" s="1">
        <v>6202</v>
      </c>
      <c r="C88" s="1">
        <v>540800</v>
      </c>
      <c r="D88" s="46">
        <v>166300</v>
      </c>
      <c r="E88" s="1">
        <v>3058000</v>
      </c>
      <c r="F88" t="s">
        <v>1027</v>
      </c>
      <c r="G88" s="1">
        <v>4299000</v>
      </c>
      <c r="H88" s="1">
        <v>167600</v>
      </c>
      <c r="I88" s="1">
        <v>251100</v>
      </c>
      <c r="J88" s="1">
        <v>7246000</v>
      </c>
      <c r="K88" s="1">
        <v>1672000</v>
      </c>
      <c r="L88" s="1">
        <v>359700</v>
      </c>
      <c r="M88" s="1">
        <v>1924000</v>
      </c>
      <c r="N88" s="1">
        <v>2812000</v>
      </c>
      <c r="O88" s="1">
        <v>22310</v>
      </c>
      <c r="P88" s="1">
        <v>577200</v>
      </c>
      <c r="Q88" t="s">
        <v>1027</v>
      </c>
      <c r="R88" t="s">
        <v>1027</v>
      </c>
    </row>
    <row r="89" spans="1:18" x14ac:dyDescent="0.2">
      <c r="A89" t="s">
        <v>1039</v>
      </c>
      <c r="B89" s="1">
        <v>12150</v>
      </c>
      <c r="C89" s="1">
        <v>1844000</v>
      </c>
      <c r="D89" s="46">
        <v>456500</v>
      </c>
      <c r="E89" s="1">
        <v>4835000</v>
      </c>
      <c r="F89" t="s">
        <v>1027</v>
      </c>
      <c r="G89" s="1">
        <v>3950000</v>
      </c>
      <c r="H89" s="1">
        <v>467600</v>
      </c>
      <c r="I89" s="1">
        <v>330300</v>
      </c>
      <c r="J89" s="1">
        <v>5973000</v>
      </c>
      <c r="K89" s="1">
        <v>2838000</v>
      </c>
      <c r="L89" s="1">
        <v>676700</v>
      </c>
      <c r="M89" s="1">
        <v>699600</v>
      </c>
      <c r="N89" s="1">
        <v>2847000</v>
      </c>
      <c r="O89" s="1">
        <v>34080</v>
      </c>
      <c r="P89" s="1">
        <v>880600</v>
      </c>
      <c r="Q89" t="s">
        <v>1027</v>
      </c>
      <c r="R89" t="s">
        <v>1027</v>
      </c>
    </row>
    <row r="90" spans="1:18" x14ac:dyDescent="0.2">
      <c r="A90" t="s">
        <v>1041</v>
      </c>
      <c r="B90" s="1">
        <v>8465</v>
      </c>
      <c r="C90" s="1">
        <v>1524000</v>
      </c>
      <c r="D90" s="46">
        <v>264200</v>
      </c>
      <c r="E90" s="1">
        <v>4311000</v>
      </c>
      <c r="F90" t="s">
        <v>1027</v>
      </c>
      <c r="G90" s="1">
        <v>5073000</v>
      </c>
      <c r="H90" s="1">
        <v>267300</v>
      </c>
      <c r="I90" s="1">
        <v>275400</v>
      </c>
      <c r="J90" s="1">
        <v>8775000</v>
      </c>
      <c r="K90" s="1">
        <v>3097000</v>
      </c>
      <c r="L90" s="1">
        <v>683500</v>
      </c>
      <c r="M90" s="1">
        <v>1907000</v>
      </c>
      <c r="N90" s="1">
        <v>2773000</v>
      </c>
      <c r="O90" s="1">
        <v>24080</v>
      </c>
      <c r="P90" s="1">
        <v>964900</v>
      </c>
      <c r="Q90" t="s">
        <v>1027</v>
      </c>
      <c r="R90" t="s">
        <v>1027</v>
      </c>
    </row>
    <row r="91" spans="1:18" x14ac:dyDescent="0.2">
      <c r="A91" t="s">
        <v>1034</v>
      </c>
      <c r="B91" s="1">
        <v>193600</v>
      </c>
      <c r="C91" s="1">
        <v>33670000</v>
      </c>
      <c r="D91" s="46">
        <v>8528000</v>
      </c>
      <c r="E91" s="1">
        <v>2854000</v>
      </c>
      <c r="F91" s="1">
        <v>848300</v>
      </c>
      <c r="G91" s="1">
        <v>4590000</v>
      </c>
      <c r="H91" s="1">
        <v>8574000</v>
      </c>
      <c r="I91" s="1">
        <v>187200</v>
      </c>
      <c r="J91" s="1">
        <v>6068000</v>
      </c>
      <c r="K91" s="1">
        <v>599200</v>
      </c>
      <c r="L91" s="1">
        <v>232800</v>
      </c>
      <c r="M91" s="1">
        <v>1748000</v>
      </c>
      <c r="N91" s="1">
        <v>4210000</v>
      </c>
      <c r="O91" s="1">
        <v>34790</v>
      </c>
      <c r="P91" s="1">
        <v>347900</v>
      </c>
      <c r="Q91" s="1">
        <v>380300</v>
      </c>
      <c r="R91" s="1">
        <v>456100</v>
      </c>
    </row>
    <row r="92" spans="1:18" x14ac:dyDescent="0.2">
      <c r="A92" t="s">
        <v>1035</v>
      </c>
      <c r="B92" s="1">
        <v>293800</v>
      </c>
      <c r="C92" s="1">
        <v>83570000</v>
      </c>
      <c r="D92" s="46">
        <v>19240000</v>
      </c>
      <c r="E92" s="1">
        <v>4565000</v>
      </c>
      <c r="F92" s="1">
        <v>1867000</v>
      </c>
      <c r="G92" s="1">
        <v>3930000</v>
      </c>
      <c r="H92" s="1">
        <v>19280000</v>
      </c>
      <c r="I92" s="1">
        <v>448000</v>
      </c>
      <c r="J92" s="1">
        <v>5785000</v>
      </c>
      <c r="K92" s="1">
        <v>1940000</v>
      </c>
      <c r="L92" s="1">
        <v>572600</v>
      </c>
      <c r="M92" s="1">
        <v>616300</v>
      </c>
      <c r="N92" s="1">
        <v>3128000</v>
      </c>
      <c r="O92" s="1">
        <v>83920</v>
      </c>
      <c r="P92" s="1">
        <v>969900</v>
      </c>
      <c r="Q92" s="1">
        <v>526500</v>
      </c>
      <c r="R92" s="1">
        <v>903100</v>
      </c>
    </row>
    <row r="93" spans="1:18" x14ac:dyDescent="0.2">
      <c r="A93" t="s">
        <v>1036</v>
      </c>
      <c r="B93" s="1">
        <v>205500</v>
      </c>
      <c r="C93" s="1">
        <v>37690000</v>
      </c>
      <c r="D93" s="46">
        <v>8452000</v>
      </c>
      <c r="E93" s="1">
        <v>2950000</v>
      </c>
      <c r="F93" s="1">
        <v>1125000</v>
      </c>
      <c r="G93" s="1">
        <v>4626000</v>
      </c>
      <c r="H93" s="1">
        <v>8500000</v>
      </c>
      <c r="I93" s="1">
        <v>198400</v>
      </c>
      <c r="J93" s="1">
        <v>6131000</v>
      </c>
      <c r="K93" s="1">
        <v>864100</v>
      </c>
      <c r="L93" s="1">
        <v>313500</v>
      </c>
      <c r="M93" s="1">
        <v>1707000</v>
      </c>
      <c r="N93" s="1">
        <v>4618000</v>
      </c>
      <c r="O93" s="1">
        <v>51760</v>
      </c>
      <c r="P93" s="1">
        <v>509700</v>
      </c>
      <c r="Q93" s="1">
        <v>369900</v>
      </c>
      <c r="R93" s="1">
        <v>571100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2"/>
  <sheetViews>
    <sheetView topLeftCell="A34" workbookViewId="0">
      <selection activeCell="P83" sqref="P83"/>
    </sheetView>
  </sheetViews>
  <sheetFormatPr baseColWidth="10" defaultRowHeight="15" x14ac:dyDescent="0.2"/>
  <cols>
    <col min="1" max="1" width="28.5" customWidth="1"/>
    <col min="12" max="12" width="19.5" customWidth="1"/>
  </cols>
  <sheetData>
    <row r="1" spans="1:12" x14ac:dyDescent="0.2">
      <c r="A1" t="s">
        <v>387</v>
      </c>
      <c r="B1" t="s">
        <v>512</v>
      </c>
      <c r="C1" t="s">
        <v>513</v>
      </c>
      <c r="D1" t="s">
        <v>514</v>
      </c>
      <c r="E1" t="s">
        <v>515</v>
      </c>
      <c r="F1" t="s">
        <v>516</v>
      </c>
      <c r="G1" t="s">
        <v>517</v>
      </c>
      <c r="H1" t="s">
        <v>518</v>
      </c>
      <c r="I1" t="s">
        <v>519</v>
      </c>
      <c r="J1" t="s">
        <v>520</v>
      </c>
      <c r="K1" t="s">
        <v>521</v>
      </c>
      <c r="L1" t="s">
        <v>940</v>
      </c>
    </row>
    <row r="2" spans="1:12" x14ac:dyDescent="0.2">
      <c r="A2" t="s">
        <v>522</v>
      </c>
      <c r="B2">
        <v>0.98965000000000003</v>
      </c>
      <c r="C2">
        <v>2E-3</v>
      </c>
      <c r="D2">
        <v>3.1355000000000001E-2</v>
      </c>
      <c r="E2">
        <v>4.0000000000000002E-4</v>
      </c>
      <c r="F2">
        <v>2E-3</v>
      </c>
      <c r="G2">
        <v>1.2600000000000001E-3</v>
      </c>
      <c r="H2">
        <v>4.0000000000000002E-4</v>
      </c>
      <c r="I2">
        <v>1.75E-4</v>
      </c>
      <c r="J2">
        <v>0.68563499999999999</v>
      </c>
      <c r="K2">
        <v>4.0000000000000002E-4</v>
      </c>
      <c r="L2" s="14">
        <v>5.3670000000000002E-2</v>
      </c>
    </row>
    <row r="3" spans="1:12" x14ac:dyDescent="0.2">
      <c r="A3" t="s">
        <v>523</v>
      </c>
      <c r="B3">
        <v>0.86534999999999995</v>
      </c>
      <c r="C3">
        <v>2E-3</v>
      </c>
      <c r="D3">
        <v>2.1585E-2</v>
      </c>
      <c r="E3">
        <v>2E-3</v>
      </c>
      <c r="F3">
        <v>2E-3</v>
      </c>
      <c r="G3">
        <v>1.255E-3</v>
      </c>
      <c r="H3">
        <v>4.0000000000000002E-4</v>
      </c>
      <c r="I3">
        <v>1.85E-4</v>
      </c>
      <c r="J3">
        <v>0.39650999999999997</v>
      </c>
      <c r="K3">
        <v>4.0000000000000002E-4</v>
      </c>
      <c r="L3" s="14">
        <v>5.6695000000000002E-2</v>
      </c>
    </row>
    <row r="4" spans="1:12" x14ac:dyDescent="0.2">
      <c r="A4" t="s">
        <v>524</v>
      </c>
      <c r="B4">
        <v>0.855375</v>
      </c>
      <c r="C4">
        <v>2E-3</v>
      </c>
      <c r="D4">
        <v>2.5364999999999999E-2</v>
      </c>
      <c r="E4">
        <v>2E-3</v>
      </c>
      <c r="F4">
        <v>2E-3</v>
      </c>
      <c r="G4">
        <v>1.3699999999999999E-3</v>
      </c>
      <c r="H4">
        <v>4.0000000000000002E-4</v>
      </c>
      <c r="I4">
        <v>1.4999999999999999E-4</v>
      </c>
      <c r="J4">
        <v>0.62505500000000003</v>
      </c>
      <c r="K4">
        <v>4.0000000000000002E-4</v>
      </c>
      <c r="L4" s="14">
        <v>5.8945000000000004E-2</v>
      </c>
    </row>
    <row r="5" spans="1:12" x14ac:dyDescent="0.2">
      <c r="A5" t="s">
        <v>525</v>
      </c>
      <c r="B5">
        <v>0.64966500000000005</v>
      </c>
      <c r="C5">
        <v>2E-3</v>
      </c>
      <c r="D5">
        <v>1.9295E-2</v>
      </c>
      <c r="E5">
        <v>1E-3</v>
      </c>
      <c r="F5">
        <v>2E-3</v>
      </c>
      <c r="G5">
        <v>3.045E-3</v>
      </c>
      <c r="H5">
        <v>4.0000000000000002E-4</v>
      </c>
      <c r="I5">
        <v>7.3999999999999999E-4</v>
      </c>
      <c r="J5">
        <v>0.481935</v>
      </c>
      <c r="K5">
        <v>4.0000000000000002E-4</v>
      </c>
      <c r="L5" s="14">
        <v>0.11939</v>
      </c>
    </row>
    <row r="6" spans="1:12" x14ac:dyDescent="0.2">
      <c r="A6" t="s">
        <v>526</v>
      </c>
      <c r="B6">
        <v>1.5004200000000001</v>
      </c>
      <c r="C6">
        <v>2E-3</v>
      </c>
      <c r="D6">
        <v>3.6295000000000001E-2</v>
      </c>
      <c r="E6">
        <v>4.3600000000000002E-3</v>
      </c>
      <c r="F6">
        <v>2E-3</v>
      </c>
      <c r="G6">
        <v>4.28E-3</v>
      </c>
      <c r="H6">
        <v>4.0000000000000002E-4</v>
      </c>
      <c r="I6">
        <v>3.4000000000000002E-4</v>
      </c>
      <c r="J6">
        <v>0.70835499999999996</v>
      </c>
      <c r="K6">
        <v>4.0000000000000002E-4</v>
      </c>
      <c r="L6" s="14">
        <v>9.2270000000000005E-2</v>
      </c>
    </row>
    <row r="7" spans="1:12" x14ac:dyDescent="0.2">
      <c r="A7" t="s">
        <v>527</v>
      </c>
      <c r="B7">
        <v>1.2887150000000001</v>
      </c>
      <c r="C7">
        <v>2E-3</v>
      </c>
      <c r="D7">
        <v>2.9479999999999999E-2</v>
      </c>
      <c r="E7">
        <v>3.8049999999999998E-3</v>
      </c>
      <c r="F7">
        <v>2E-3</v>
      </c>
      <c r="G7">
        <v>3.3400000000000001E-3</v>
      </c>
      <c r="H7">
        <v>4.0000000000000002E-4</v>
      </c>
      <c r="I7">
        <v>3.5E-4</v>
      </c>
      <c r="J7">
        <v>0.54759999999999998</v>
      </c>
      <c r="K7">
        <v>4.0000000000000002E-4</v>
      </c>
      <c r="L7" s="14">
        <v>8.4894999999999998E-2</v>
      </c>
    </row>
    <row r="8" spans="1:12" x14ac:dyDescent="0.2">
      <c r="A8" t="s">
        <v>528</v>
      </c>
      <c r="B8">
        <v>7.5732650000000001</v>
      </c>
      <c r="C8">
        <v>0.31963999999999998</v>
      </c>
      <c r="D8">
        <v>2.8769900000000002</v>
      </c>
      <c r="E8">
        <v>2.31E-3</v>
      </c>
      <c r="F8">
        <v>9.7149999999999997E-3</v>
      </c>
      <c r="G8">
        <v>1.6285000000000001E-2</v>
      </c>
      <c r="H8">
        <v>4.0000000000000002E-4</v>
      </c>
      <c r="I8">
        <v>1.8000000000000001E-4</v>
      </c>
      <c r="J8">
        <v>2.8951699999999998</v>
      </c>
      <c r="K8">
        <v>1.31E-3</v>
      </c>
      <c r="L8" s="14">
        <v>0.33910999999999997</v>
      </c>
    </row>
    <row r="9" spans="1:12" x14ac:dyDescent="0.2">
      <c r="A9" t="s">
        <v>529</v>
      </c>
      <c r="B9">
        <v>8.9885850000000005</v>
      </c>
      <c r="C9">
        <v>0.26399</v>
      </c>
      <c r="D9">
        <v>2.543085</v>
      </c>
      <c r="E9">
        <v>2.9949999999999998E-3</v>
      </c>
      <c r="F9">
        <v>1.277E-2</v>
      </c>
      <c r="G9">
        <v>2.0494999999999999E-2</v>
      </c>
      <c r="H9">
        <v>4.0000000000000002E-4</v>
      </c>
      <c r="I9">
        <v>3.3E-4</v>
      </c>
      <c r="J9">
        <v>4.5160900000000002</v>
      </c>
      <c r="K9">
        <v>1.56E-3</v>
      </c>
      <c r="L9" s="14">
        <v>0.75675999999999988</v>
      </c>
    </row>
    <row r="10" spans="1:12" x14ac:dyDescent="0.2">
      <c r="A10" t="s">
        <v>530</v>
      </c>
      <c r="B10">
        <v>8.8327799999999996</v>
      </c>
      <c r="C10">
        <v>0.18365000000000001</v>
      </c>
      <c r="D10">
        <v>2.7027299999999999</v>
      </c>
      <c r="E10">
        <v>7.85E-4</v>
      </c>
      <c r="F10">
        <v>8.345E-3</v>
      </c>
      <c r="G10">
        <v>1.52E-2</v>
      </c>
      <c r="H10">
        <v>4.0000000000000002E-4</v>
      </c>
      <c r="I10">
        <v>2.7500000000000002E-4</v>
      </c>
      <c r="J10">
        <v>4.3165899999999997</v>
      </c>
      <c r="K10">
        <v>1.4E-3</v>
      </c>
      <c r="L10" s="14">
        <v>0.28180500000000003</v>
      </c>
    </row>
    <row r="11" spans="1:12" x14ac:dyDescent="0.2">
      <c r="A11" t="s">
        <v>531</v>
      </c>
      <c r="B11">
        <v>8.3525749999999999</v>
      </c>
      <c r="C11">
        <v>3.4212600000000002</v>
      </c>
      <c r="D11">
        <v>3.4111950000000002</v>
      </c>
      <c r="E11">
        <v>3.3020000000000001E-2</v>
      </c>
      <c r="F11">
        <v>6.4055000000000001E-2</v>
      </c>
      <c r="G11">
        <v>0.100415</v>
      </c>
      <c r="H11">
        <v>4.0000000000000002E-4</v>
      </c>
      <c r="I11">
        <v>5.3499999999999999E-4</v>
      </c>
      <c r="J11">
        <v>1.215295</v>
      </c>
      <c r="K11">
        <v>4.0000000000000002E-4</v>
      </c>
      <c r="L11" s="14">
        <v>2.3165800000000001</v>
      </c>
    </row>
    <row r="12" spans="1:12" x14ac:dyDescent="0.2">
      <c r="A12" t="s">
        <v>532</v>
      </c>
      <c r="B12">
        <v>8.7607199999999992</v>
      </c>
      <c r="C12">
        <v>3.8349299999999999</v>
      </c>
      <c r="D12">
        <v>3.3342499999999999</v>
      </c>
      <c r="E12">
        <v>3.2340000000000001E-2</v>
      </c>
      <c r="F12">
        <v>6.8805000000000005E-2</v>
      </c>
      <c r="G12">
        <v>0.10176</v>
      </c>
      <c r="H12">
        <v>4.0000000000000002E-4</v>
      </c>
      <c r="I12">
        <v>3.3E-4</v>
      </c>
      <c r="J12">
        <v>1.6055900000000001</v>
      </c>
      <c r="K12">
        <v>4.0000000000000002E-4</v>
      </c>
      <c r="L12" s="14">
        <v>2.0374149999999998</v>
      </c>
    </row>
    <row r="13" spans="1:12" x14ac:dyDescent="0.2">
      <c r="A13" t="s">
        <v>533</v>
      </c>
      <c r="B13">
        <v>10.40408</v>
      </c>
      <c r="C13">
        <v>4.1136499999999998</v>
      </c>
      <c r="D13">
        <v>3.7168350000000001</v>
      </c>
      <c r="E13">
        <v>2.6515E-2</v>
      </c>
      <c r="F13">
        <v>6.923E-2</v>
      </c>
      <c r="G13">
        <v>9.9830000000000002E-2</v>
      </c>
      <c r="H13">
        <v>4.0000000000000002E-4</v>
      </c>
      <c r="I13">
        <v>6.4000000000000005E-4</v>
      </c>
      <c r="J13">
        <v>1.799085</v>
      </c>
      <c r="K13">
        <v>4.0000000000000002E-4</v>
      </c>
      <c r="L13" s="14">
        <v>1.8722799999999999</v>
      </c>
    </row>
    <row r="14" spans="1:12" x14ac:dyDescent="0.2">
      <c r="A14" t="s">
        <v>534</v>
      </c>
      <c r="B14">
        <v>7.4376550000000003</v>
      </c>
      <c r="C14">
        <v>7.8659999999999994E-2</v>
      </c>
      <c r="D14">
        <v>2.79819</v>
      </c>
      <c r="E14">
        <v>2E-3</v>
      </c>
      <c r="F14">
        <v>2E-3</v>
      </c>
      <c r="G14">
        <v>2.2750000000000001E-3</v>
      </c>
      <c r="H14">
        <v>4.0000000000000002E-4</v>
      </c>
      <c r="I14">
        <v>1.4999999999999999E-4</v>
      </c>
      <c r="J14">
        <v>4.0447649999999999</v>
      </c>
      <c r="K14">
        <v>1.7099999999999999E-3</v>
      </c>
      <c r="L14" s="14">
        <v>0.22675000000000001</v>
      </c>
    </row>
    <row r="15" spans="1:12" x14ac:dyDescent="0.2">
      <c r="A15" t="s">
        <v>535</v>
      </c>
      <c r="B15">
        <v>8.1992100000000008</v>
      </c>
      <c r="C15">
        <v>0.100275</v>
      </c>
      <c r="D15">
        <v>2.9051399999999998</v>
      </c>
      <c r="E15">
        <v>2E-3</v>
      </c>
      <c r="F15">
        <v>2E-3</v>
      </c>
      <c r="G15">
        <v>2.1350000000000002E-3</v>
      </c>
      <c r="H15">
        <v>4.0000000000000002E-4</v>
      </c>
      <c r="I15">
        <v>1E-4</v>
      </c>
      <c r="J15">
        <v>3.7637900000000002</v>
      </c>
      <c r="K15">
        <v>1.17E-3</v>
      </c>
      <c r="L15" s="14">
        <v>0.41723000000000005</v>
      </c>
    </row>
    <row r="16" spans="1:12" x14ac:dyDescent="0.2">
      <c r="A16" t="s">
        <v>536</v>
      </c>
      <c r="B16">
        <v>9.3330450000000003</v>
      </c>
      <c r="C16">
        <v>7.4490000000000001E-2</v>
      </c>
      <c r="D16">
        <v>2.4659</v>
      </c>
      <c r="E16">
        <v>4.0000000000000002E-4</v>
      </c>
      <c r="F16">
        <v>2E-3</v>
      </c>
      <c r="G16">
        <v>1.4300000000000001E-3</v>
      </c>
      <c r="H16">
        <v>4.0000000000000002E-4</v>
      </c>
      <c r="I16">
        <v>1.8000000000000001E-4</v>
      </c>
      <c r="J16">
        <v>5.9260349999999997</v>
      </c>
      <c r="K16">
        <v>1.2999999999999999E-3</v>
      </c>
      <c r="L16" s="14">
        <v>0.29649500000000001</v>
      </c>
    </row>
    <row r="17" spans="1:12" x14ac:dyDescent="0.2">
      <c r="A17" t="s">
        <v>537</v>
      </c>
      <c r="B17">
        <v>7.2126999999999999</v>
      </c>
      <c r="C17">
        <v>1.7983849999999999</v>
      </c>
      <c r="D17">
        <v>3.0037050000000001</v>
      </c>
      <c r="E17">
        <v>9.8200000000000006E-3</v>
      </c>
      <c r="F17">
        <v>1.072E-2</v>
      </c>
      <c r="G17">
        <v>1.6195000000000001E-2</v>
      </c>
      <c r="H17">
        <v>4.0000000000000002E-4</v>
      </c>
      <c r="I17">
        <v>4.2499999999999998E-4</v>
      </c>
      <c r="J17">
        <v>0.96410499999999999</v>
      </c>
      <c r="K17">
        <v>4.0000000000000002E-4</v>
      </c>
      <c r="L17" s="14">
        <v>0.19307000000000002</v>
      </c>
    </row>
    <row r="18" spans="1:12" x14ac:dyDescent="0.2">
      <c r="A18" t="s">
        <v>538</v>
      </c>
      <c r="B18">
        <v>7.4150650000000002</v>
      </c>
      <c r="C18">
        <v>1.0963499999999999</v>
      </c>
      <c r="D18">
        <v>3.0564249999999999</v>
      </c>
      <c r="E18">
        <v>4.5700000000000003E-3</v>
      </c>
      <c r="F18">
        <v>1.2930000000000001E-2</v>
      </c>
      <c r="G18">
        <v>1.7245E-2</v>
      </c>
      <c r="H18">
        <v>4.0000000000000002E-4</v>
      </c>
      <c r="I18">
        <v>8.3000000000000001E-4</v>
      </c>
      <c r="J18">
        <v>0.98172999999999999</v>
      </c>
      <c r="K18">
        <v>4.0000000000000002E-4</v>
      </c>
      <c r="L18" s="14">
        <v>0.480715</v>
      </c>
    </row>
    <row r="19" spans="1:12" x14ac:dyDescent="0.2">
      <c r="A19" t="s">
        <v>539</v>
      </c>
      <c r="B19">
        <v>9.8433700000000002</v>
      </c>
      <c r="C19">
        <v>1.745735</v>
      </c>
      <c r="D19">
        <v>3.2071100000000001</v>
      </c>
      <c r="E19">
        <v>9.3749999999999997E-3</v>
      </c>
      <c r="F19">
        <v>1.0035000000000001E-2</v>
      </c>
      <c r="G19">
        <v>1.5165E-2</v>
      </c>
      <c r="H19">
        <v>4.0000000000000002E-4</v>
      </c>
      <c r="I19">
        <v>3.1E-4</v>
      </c>
      <c r="J19">
        <v>1.47235</v>
      </c>
      <c r="K19">
        <v>4.0000000000000002E-4</v>
      </c>
      <c r="L19" s="14">
        <v>0.245195</v>
      </c>
    </row>
    <row r="20" spans="1:12" x14ac:dyDescent="0.2">
      <c r="A20" t="s">
        <v>540</v>
      </c>
      <c r="B20">
        <v>9.0191199999999991</v>
      </c>
      <c r="C20">
        <v>1.9466749999999999</v>
      </c>
      <c r="D20">
        <v>3.3199000000000001</v>
      </c>
      <c r="E20">
        <v>1.291E-2</v>
      </c>
      <c r="F20">
        <v>1.3270000000000001E-2</v>
      </c>
      <c r="G20">
        <v>2.317E-2</v>
      </c>
      <c r="H20">
        <v>4.0000000000000002E-4</v>
      </c>
      <c r="I20">
        <v>5.9500000000000004E-4</v>
      </c>
      <c r="J20">
        <v>1.267015</v>
      </c>
      <c r="K20">
        <v>4.0000000000000002E-4</v>
      </c>
      <c r="L20" s="14">
        <v>0.60972999999999999</v>
      </c>
    </row>
    <row r="21" spans="1:12" x14ac:dyDescent="0.2">
      <c r="A21" t="s">
        <v>541</v>
      </c>
      <c r="B21">
        <v>7.1350350000000002</v>
      </c>
      <c r="C21">
        <v>0.24657000000000001</v>
      </c>
      <c r="D21">
        <v>3.2839550000000002</v>
      </c>
      <c r="E21">
        <v>2E-3</v>
      </c>
      <c r="F21">
        <v>6.5399999999999998E-3</v>
      </c>
      <c r="G21">
        <v>1.2274999999999999E-2</v>
      </c>
      <c r="H21">
        <v>4.0000000000000002E-4</v>
      </c>
      <c r="I21">
        <v>2.3000000000000001E-4</v>
      </c>
      <c r="J21">
        <v>4.0022399999999996</v>
      </c>
      <c r="K21">
        <v>1.475E-3</v>
      </c>
      <c r="L21" s="14">
        <v>0.38253000000000004</v>
      </c>
    </row>
    <row r="22" spans="1:12" x14ac:dyDescent="0.2">
      <c r="A22" t="s">
        <v>542</v>
      </c>
      <c r="B22">
        <v>11.617800000000001</v>
      </c>
      <c r="C22">
        <v>0.33169999999999999</v>
      </c>
      <c r="D22">
        <v>3.2202899999999999</v>
      </c>
      <c r="E22">
        <v>2.745E-3</v>
      </c>
      <c r="F22">
        <v>1.5485000000000001E-2</v>
      </c>
      <c r="G22">
        <v>2.1399999999999999E-2</v>
      </c>
      <c r="H22">
        <v>4.0000000000000002E-4</v>
      </c>
      <c r="I22">
        <v>3.1500000000000001E-4</v>
      </c>
      <c r="J22">
        <v>7.1870149999999997</v>
      </c>
      <c r="K22">
        <v>1.2049999999999999E-3</v>
      </c>
      <c r="L22" s="14">
        <v>0.24947</v>
      </c>
    </row>
    <row r="23" spans="1:12" x14ac:dyDescent="0.2">
      <c r="A23" t="s">
        <v>543</v>
      </c>
      <c r="B23">
        <v>10.940860000000001</v>
      </c>
      <c r="C23">
        <v>0.29025000000000001</v>
      </c>
      <c r="D23">
        <v>3.1259199999999998</v>
      </c>
      <c r="E23">
        <v>2E-3</v>
      </c>
      <c r="F23">
        <v>1.2395E-2</v>
      </c>
      <c r="G23">
        <v>1.966E-2</v>
      </c>
      <c r="H23">
        <v>4.0000000000000002E-4</v>
      </c>
      <c r="I23">
        <v>3.2000000000000003E-4</v>
      </c>
      <c r="J23">
        <v>8.1529950000000007</v>
      </c>
      <c r="K23">
        <v>1.2049999999999999E-3</v>
      </c>
      <c r="L23" s="14">
        <v>0.24069499999999999</v>
      </c>
    </row>
    <row r="24" spans="1:12" x14ac:dyDescent="0.2">
      <c r="A24" t="s">
        <v>544</v>
      </c>
      <c r="B24">
        <v>8.9911700000000003</v>
      </c>
      <c r="C24">
        <v>3.6767150000000002</v>
      </c>
      <c r="D24">
        <v>3.0052050000000001</v>
      </c>
      <c r="E24">
        <v>3.9815000000000003E-2</v>
      </c>
      <c r="F24">
        <v>6.191E-2</v>
      </c>
      <c r="G24">
        <v>0.10975500000000001</v>
      </c>
      <c r="H24">
        <v>4.0000000000000002E-4</v>
      </c>
      <c r="I24">
        <v>2.4000000000000001E-4</v>
      </c>
      <c r="J24">
        <v>1.1893450000000001</v>
      </c>
      <c r="K24">
        <v>4.0000000000000002E-4</v>
      </c>
      <c r="L24" s="14">
        <v>1.9179650000000001</v>
      </c>
    </row>
    <row r="25" spans="1:12" x14ac:dyDescent="0.2">
      <c r="A25" t="s">
        <v>545</v>
      </c>
      <c r="B25">
        <v>10.348625</v>
      </c>
      <c r="C25">
        <v>4.248335</v>
      </c>
      <c r="D25">
        <v>3.420105</v>
      </c>
      <c r="E25">
        <v>3.9634999999999997E-2</v>
      </c>
      <c r="F25">
        <v>6.8949999999999997E-2</v>
      </c>
      <c r="G25">
        <v>0.10136000000000001</v>
      </c>
      <c r="H25">
        <v>4.0000000000000002E-4</v>
      </c>
      <c r="I25">
        <v>6.9999999999999999E-4</v>
      </c>
      <c r="J25">
        <v>1.5013449999999999</v>
      </c>
      <c r="K25">
        <v>4.0000000000000002E-4</v>
      </c>
      <c r="L25" s="14">
        <v>2.28226</v>
      </c>
    </row>
    <row r="26" spans="1:12" x14ac:dyDescent="0.2">
      <c r="A26" t="s">
        <v>546</v>
      </c>
      <c r="B26">
        <v>11.024179999999999</v>
      </c>
      <c r="C26">
        <v>3.6061899999999998</v>
      </c>
      <c r="D26">
        <v>3.5567950000000002</v>
      </c>
      <c r="E26">
        <v>2.2065000000000001E-2</v>
      </c>
      <c r="F26">
        <v>4.3459999999999999E-2</v>
      </c>
      <c r="G26">
        <v>7.1624999999999994E-2</v>
      </c>
      <c r="H26">
        <v>4.0000000000000002E-4</v>
      </c>
      <c r="I26">
        <v>6.5499999999999998E-4</v>
      </c>
      <c r="J26">
        <v>2.5378599999999998</v>
      </c>
      <c r="K26">
        <v>4.0000000000000002E-4</v>
      </c>
      <c r="L26" s="14">
        <v>1.0596300000000001</v>
      </c>
    </row>
    <row r="27" spans="1:12" x14ac:dyDescent="0.2">
      <c r="A27" t="s">
        <v>547</v>
      </c>
      <c r="B27">
        <v>10.23747</v>
      </c>
      <c r="C27">
        <v>1.9135850000000001</v>
      </c>
      <c r="D27">
        <v>3.5270549999999998</v>
      </c>
      <c r="E27">
        <v>7.92E-3</v>
      </c>
      <c r="F27">
        <v>6.447E-2</v>
      </c>
      <c r="G27">
        <v>7.7380000000000004E-2</v>
      </c>
      <c r="H27">
        <v>5.9249999999999997E-3</v>
      </c>
      <c r="I27">
        <v>3.4499999999999998E-4</v>
      </c>
      <c r="J27">
        <v>1.285855</v>
      </c>
      <c r="K27">
        <v>1.6050000000000001E-3</v>
      </c>
      <c r="L27" s="14">
        <v>0.132355</v>
      </c>
    </row>
    <row r="28" spans="1:12" x14ac:dyDescent="0.2">
      <c r="A28" t="s">
        <v>548</v>
      </c>
      <c r="B28">
        <v>12.199405</v>
      </c>
      <c r="C28">
        <v>2.2729249999999999</v>
      </c>
      <c r="D28">
        <v>4.5689900000000003</v>
      </c>
      <c r="E28">
        <v>1.8265E-2</v>
      </c>
      <c r="F28">
        <v>7.6064999999999994E-2</v>
      </c>
      <c r="G28">
        <v>8.6705000000000004E-2</v>
      </c>
      <c r="H28">
        <v>1.443E-2</v>
      </c>
      <c r="I28">
        <v>1E-4</v>
      </c>
      <c r="J28">
        <v>1.457335</v>
      </c>
      <c r="K28">
        <v>1.33E-3</v>
      </c>
      <c r="L28" s="14">
        <v>0.22758500000000001</v>
      </c>
    </row>
    <row r="29" spans="1:12" x14ac:dyDescent="0.2">
      <c r="A29" t="s">
        <v>549</v>
      </c>
      <c r="B29">
        <v>10.798405000000001</v>
      </c>
      <c r="C29">
        <v>2.3462499999999999</v>
      </c>
      <c r="D29">
        <v>4.3372999999999999</v>
      </c>
      <c r="E29">
        <v>1.8624999999999999E-2</v>
      </c>
      <c r="F29">
        <v>6.2454999999999997E-2</v>
      </c>
      <c r="G29">
        <v>7.7094999999999997E-2</v>
      </c>
      <c r="H29">
        <v>1.5705E-2</v>
      </c>
      <c r="I29">
        <v>2.3499999999999999E-4</v>
      </c>
      <c r="J29">
        <v>1.5315300000000001</v>
      </c>
      <c r="K29">
        <v>1.4250000000000001E-3</v>
      </c>
      <c r="L29" s="14">
        <v>0.19370999999999999</v>
      </c>
    </row>
    <row r="30" spans="1:12" x14ac:dyDescent="0.2">
      <c r="A30" t="s">
        <v>550</v>
      </c>
      <c r="B30">
        <v>8.4475899999999999</v>
      </c>
      <c r="C30">
        <v>4.8820300000000003</v>
      </c>
      <c r="D30">
        <v>3.5204249999999999</v>
      </c>
      <c r="E30">
        <v>3.7650000000000003E-2</v>
      </c>
      <c r="F30">
        <v>9.5469999999999999E-2</v>
      </c>
      <c r="G30">
        <v>0.13927</v>
      </c>
      <c r="H30">
        <v>1.6265000000000002E-2</v>
      </c>
      <c r="I30">
        <v>5.9500000000000004E-4</v>
      </c>
      <c r="J30">
        <v>0.39553500000000003</v>
      </c>
      <c r="K30">
        <v>4.0000000000000002E-4</v>
      </c>
      <c r="L30" s="14">
        <v>1.038915</v>
      </c>
    </row>
    <row r="31" spans="1:12" x14ac:dyDescent="0.2">
      <c r="A31" t="s">
        <v>551</v>
      </c>
      <c r="B31">
        <v>10.761225</v>
      </c>
      <c r="C31">
        <v>5.29542</v>
      </c>
      <c r="D31">
        <v>4.1436849999999996</v>
      </c>
      <c r="E31">
        <v>2.6904999999999998E-2</v>
      </c>
      <c r="F31">
        <v>8.9950000000000002E-2</v>
      </c>
      <c r="G31">
        <v>0.10571999999999999</v>
      </c>
      <c r="H31">
        <v>1.6305E-2</v>
      </c>
      <c r="I31">
        <v>3.8999999999999999E-4</v>
      </c>
      <c r="J31">
        <v>0.80452500000000005</v>
      </c>
      <c r="K31">
        <v>4.0000000000000002E-4</v>
      </c>
      <c r="L31" s="14">
        <v>1.68462</v>
      </c>
    </row>
    <row r="32" spans="1:12" x14ac:dyDescent="0.2">
      <c r="A32" t="s">
        <v>552</v>
      </c>
      <c r="B32">
        <v>8.6672150000000006</v>
      </c>
      <c r="C32">
        <v>4.3212799999999998</v>
      </c>
      <c r="D32">
        <v>3.3612950000000001</v>
      </c>
      <c r="E32">
        <v>3.4514999999999997E-2</v>
      </c>
      <c r="F32">
        <v>9.9144999999999997E-2</v>
      </c>
      <c r="G32">
        <v>0.14252000000000001</v>
      </c>
      <c r="H32">
        <v>1.8745000000000001E-2</v>
      </c>
      <c r="I32">
        <v>5.8500000000000002E-4</v>
      </c>
      <c r="J32">
        <v>0.67711500000000002</v>
      </c>
      <c r="K32">
        <v>4.0000000000000002E-4</v>
      </c>
      <c r="L32" s="14">
        <v>1.6407749999999999</v>
      </c>
    </row>
    <row r="33" spans="1:12" x14ac:dyDescent="0.2">
      <c r="A33" t="s">
        <v>553</v>
      </c>
      <c r="B33">
        <v>7.4596349999999996</v>
      </c>
      <c r="C33">
        <v>0.17519000000000001</v>
      </c>
      <c r="D33">
        <v>2.200745</v>
      </c>
      <c r="E33">
        <v>1.4300000000000001E-3</v>
      </c>
      <c r="F33">
        <v>9.4000000000000004E-3</v>
      </c>
      <c r="G33">
        <v>1.4829999999999999E-2</v>
      </c>
      <c r="H33">
        <v>4.0000000000000002E-4</v>
      </c>
      <c r="I33">
        <v>1E-4</v>
      </c>
      <c r="J33">
        <v>4.0105050000000002</v>
      </c>
      <c r="K33">
        <v>1.555E-3</v>
      </c>
      <c r="L33" s="14">
        <v>0.28264</v>
      </c>
    </row>
    <row r="34" spans="1:12" x14ac:dyDescent="0.2">
      <c r="A34" t="s">
        <v>554</v>
      </c>
      <c r="B34">
        <v>9.5343850000000003</v>
      </c>
      <c r="C34">
        <v>0.36952000000000002</v>
      </c>
      <c r="D34">
        <v>3.16764</v>
      </c>
      <c r="E34">
        <v>1.745E-3</v>
      </c>
      <c r="F34">
        <v>1.6945000000000002E-2</v>
      </c>
      <c r="G34">
        <v>2.6620000000000001E-2</v>
      </c>
      <c r="H34">
        <v>4.0000000000000002E-4</v>
      </c>
      <c r="I34">
        <v>1.35E-4</v>
      </c>
      <c r="J34">
        <v>4.1126849999999999</v>
      </c>
      <c r="K34">
        <v>1.1900000000000001E-3</v>
      </c>
      <c r="L34" s="14">
        <v>0.20088999999999999</v>
      </c>
    </row>
    <row r="35" spans="1:12" x14ac:dyDescent="0.2">
      <c r="A35" t="s">
        <v>555</v>
      </c>
      <c r="B35">
        <v>9.4083199999999998</v>
      </c>
      <c r="C35">
        <v>0.49635499999999999</v>
      </c>
      <c r="D35">
        <v>3.2950249999999999</v>
      </c>
      <c r="E35">
        <v>6.1349999999999998E-3</v>
      </c>
      <c r="F35">
        <v>1.8960000000000001E-2</v>
      </c>
      <c r="G35">
        <v>3.1095000000000001E-2</v>
      </c>
      <c r="H35">
        <v>4.0000000000000002E-4</v>
      </c>
      <c r="I35">
        <v>1E-4</v>
      </c>
      <c r="J35">
        <v>5.9055099999999996</v>
      </c>
      <c r="K35">
        <v>1.725E-3</v>
      </c>
      <c r="L35" s="14">
        <v>0.12732500000000002</v>
      </c>
    </row>
    <row r="36" spans="1:12" x14ac:dyDescent="0.2">
      <c r="A36" t="s">
        <v>556</v>
      </c>
      <c r="B36">
        <v>10.546419999999999</v>
      </c>
      <c r="C36">
        <v>4.8879250000000001</v>
      </c>
      <c r="D36">
        <v>3.4186299999999998</v>
      </c>
      <c r="E36">
        <v>3.3345E-2</v>
      </c>
      <c r="F36">
        <v>7.8645000000000007E-2</v>
      </c>
      <c r="G36">
        <v>0.12281</v>
      </c>
      <c r="H36">
        <v>4.0000000000000002E-4</v>
      </c>
      <c r="I36">
        <v>7.9500000000000003E-4</v>
      </c>
      <c r="J36">
        <v>2.051955</v>
      </c>
      <c r="K36">
        <v>4.0000000000000002E-4</v>
      </c>
      <c r="L36" s="14">
        <v>1.1347450000000001</v>
      </c>
    </row>
    <row r="37" spans="1:12" x14ac:dyDescent="0.2">
      <c r="A37" t="s">
        <v>557</v>
      </c>
      <c r="B37">
        <v>9.5039049999999996</v>
      </c>
      <c r="C37">
        <v>3.502535</v>
      </c>
      <c r="D37">
        <v>3.4601099999999998</v>
      </c>
      <c r="E37">
        <v>2.3375E-2</v>
      </c>
      <c r="F37">
        <v>5.1999999999999998E-2</v>
      </c>
      <c r="G37">
        <v>9.4789999999999999E-2</v>
      </c>
      <c r="H37">
        <v>9.7999999999999997E-4</v>
      </c>
      <c r="I37">
        <v>3.8499999999999998E-4</v>
      </c>
      <c r="J37">
        <v>1.2917000000000001</v>
      </c>
      <c r="K37">
        <v>4.0000000000000002E-4</v>
      </c>
      <c r="L37" s="14">
        <v>1.4103750000000002</v>
      </c>
    </row>
    <row r="38" spans="1:12" x14ac:dyDescent="0.2">
      <c r="A38" t="s">
        <v>558</v>
      </c>
      <c r="B38">
        <v>11.968529999999999</v>
      </c>
      <c r="C38">
        <v>4.3018599999999996</v>
      </c>
      <c r="D38">
        <v>4.0765849999999997</v>
      </c>
      <c r="E38">
        <v>4.4775000000000002E-2</v>
      </c>
      <c r="F38">
        <v>8.5275000000000004E-2</v>
      </c>
      <c r="G38">
        <v>0.13203000000000001</v>
      </c>
      <c r="H38">
        <v>4.0000000000000002E-4</v>
      </c>
      <c r="I38">
        <v>4.2000000000000002E-4</v>
      </c>
      <c r="J38">
        <v>2.3804099999999999</v>
      </c>
      <c r="K38">
        <v>4.0000000000000002E-4</v>
      </c>
      <c r="L38" s="14">
        <v>1.345375</v>
      </c>
    </row>
    <row r="39" spans="1:12" x14ac:dyDescent="0.2">
      <c r="A39" t="s">
        <v>559</v>
      </c>
      <c r="B39">
        <v>9.4600349999999995</v>
      </c>
      <c r="C39">
        <v>0.356045</v>
      </c>
      <c r="D39">
        <v>2.4370150000000002</v>
      </c>
      <c r="E39">
        <v>7.0749999999999997E-3</v>
      </c>
      <c r="F39">
        <v>2.3390000000000001E-2</v>
      </c>
      <c r="G39">
        <v>3.1234999999999999E-2</v>
      </c>
      <c r="H39">
        <v>4.0000000000000002E-4</v>
      </c>
      <c r="I39">
        <v>1E-4</v>
      </c>
      <c r="J39">
        <v>4.7903799999999999</v>
      </c>
      <c r="K39">
        <v>1.585E-3</v>
      </c>
      <c r="L39" s="14">
        <v>0.16990499999999997</v>
      </c>
    </row>
    <row r="40" spans="1:12" x14ac:dyDescent="0.2">
      <c r="A40" t="s">
        <v>560</v>
      </c>
      <c r="B40">
        <v>7.9323649999999999</v>
      </c>
      <c r="C40">
        <v>0.29360999999999998</v>
      </c>
      <c r="D40">
        <v>3.3227699999999998</v>
      </c>
      <c r="E40">
        <v>2.64E-3</v>
      </c>
      <c r="F40">
        <v>1.3214999999999999E-2</v>
      </c>
      <c r="G40">
        <v>2.0369999999999999E-2</v>
      </c>
      <c r="H40">
        <v>4.0000000000000002E-4</v>
      </c>
      <c r="I40">
        <v>1E-4</v>
      </c>
      <c r="J40">
        <v>4.7848499999999996</v>
      </c>
      <c r="K40">
        <v>1.065E-3</v>
      </c>
      <c r="L40" s="14">
        <v>0.28675499999999998</v>
      </c>
    </row>
    <row r="41" spans="1:12" x14ac:dyDescent="0.2">
      <c r="A41" t="s">
        <v>561</v>
      </c>
      <c r="B41">
        <v>7.3896499999999996</v>
      </c>
      <c r="C41">
        <v>0.23081499999999999</v>
      </c>
      <c r="D41">
        <v>1.4270449999999999</v>
      </c>
      <c r="E41">
        <v>3.705E-3</v>
      </c>
      <c r="F41">
        <v>1.8200000000000001E-2</v>
      </c>
      <c r="G41">
        <v>2.5964999999999998E-2</v>
      </c>
      <c r="H41">
        <v>4.0000000000000002E-4</v>
      </c>
      <c r="I41">
        <v>1.25E-4</v>
      </c>
      <c r="J41">
        <v>4.0913449999999996</v>
      </c>
      <c r="K41">
        <v>1.155E-3</v>
      </c>
      <c r="L41" s="14">
        <v>0.33679999999999999</v>
      </c>
    </row>
    <row r="42" spans="1:12" x14ac:dyDescent="0.2">
      <c r="A42" t="s">
        <v>562</v>
      </c>
      <c r="B42">
        <v>7.4548050000000003</v>
      </c>
      <c r="C42">
        <v>3.5827450000000001</v>
      </c>
      <c r="D42">
        <v>3.1336300000000001</v>
      </c>
      <c r="E42">
        <v>3.0544999999999999E-2</v>
      </c>
      <c r="F42">
        <v>7.9305E-2</v>
      </c>
      <c r="G42">
        <v>0.13458000000000001</v>
      </c>
      <c r="H42">
        <v>4.0000000000000002E-4</v>
      </c>
      <c r="I42">
        <v>3.2000000000000003E-4</v>
      </c>
      <c r="J42">
        <v>1.2610950000000001</v>
      </c>
      <c r="K42">
        <v>4.0000000000000002E-4</v>
      </c>
      <c r="L42" s="14">
        <v>0.82870500000000002</v>
      </c>
    </row>
    <row r="43" spans="1:12" x14ac:dyDescent="0.2">
      <c r="A43" t="s">
        <v>563</v>
      </c>
      <c r="B43">
        <v>8.9963499999999996</v>
      </c>
      <c r="C43">
        <v>3.8627500000000001</v>
      </c>
      <c r="D43">
        <v>3.4293300000000002</v>
      </c>
      <c r="E43">
        <v>2.4545000000000001E-2</v>
      </c>
      <c r="F43">
        <v>5.8619999999999998E-2</v>
      </c>
      <c r="G43">
        <v>8.5900000000000004E-2</v>
      </c>
      <c r="H43">
        <v>1.825E-3</v>
      </c>
      <c r="I43">
        <v>3.6999999999999999E-4</v>
      </c>
      <c r="J43">
        <v>1.66032</v>
      </c>
      <c r="K43">
        <v>4.0000000000000002E-4</v>
      </c>
      <c r="L43" s="14">
        <v>1.204825</v>
      </c>
    </row>
    <row r="44" spans="1:12" x14ac:dyDescent="0.2">
      <c r="A44" t="s">
        <v>564</v>
      </c>
      <c r="B44">
        <v>10.031145</v>
      </c>
      <c r="C44">
        <v>3.4126400000000001</v>
      </c>
      <c r="D44">
        <v>3.6426449999999999</v>
      </c>
      <c r="E44">
        <v>2.7965E-2</v>
      </c>
      <c r="F44">
        <v>5.8264999999999997E-2</v>
      </c>
      <c r="G44">
        <v>0.11955499999999999</v>
      </c>
      <c r="H44">
        <v>4.0000000000000002E-4</v>
      </c>
      <c r="I44">
        <v>5.7499999999999999E-4</v>
      </c>
      <c r="J44">
        <v>1.386925</v>
      </c>
      <c r="K44">
        <v>4.0000000000000002E-4</v>
      </c>
      <c r="L44" s="14">
        <v>1.177665</v>
      </c>
    </row>
    <row r="45" spans="1:12" x14ac:dyDescent="0.2">
      <c r="A45" t="s">
        <v>565</v>
      </c>
      <c r="B45">
        <v>7.5416550000000004</v>
      </c>
      <c r="C45">
        <v>0.24171000000000001</v>
      </c>
      <c r="D45">
        <v>1.5182199999999999</v>
      </c>
      <c r="E45">
        <v>4.2950000000000002E-3</v>
      </c>
      <c r="F45">
        <v>1.6535000000000001E-2</v>
      </c>
      <c r="G45">
        <v>2.538E-2</v>
      </c>
      <c r="H45">
        <v>4.0000000000000002E-4</v>
      </c>
      <c r="I45">
        <v>1E-4</v>
      </c>
      <c r="J45">
        <v>3.4834200000000002</v>
      </c>
      <c r="K45">
        <v>1.5449999999999999E-3</v>
      </c>
      <c r="L45" s="14">
        <v>0.11863</v>
      </c>
    </row>
    <row r="46" spans="1:12" x14ac:dyDescent="0.2">
      <c r="A46" t="s">
        <v>566</v>
      </c>
      <c r="B46">
        <v>8.4529949999999996</v>
      </c>
      <c r="C46">
        <v>0.35647499999999999</v>
      </c>
      <c r="D46">
        <v>3.2001849999999998</v>
      </c>
      <c r="E46">
        <v>1.0549999999999999E-3</v>
      </c>
      <c r="F46">
        <v>1.1705E-2</v>
      </c>
      <c r="G46">
        <v>2.0414999999999999E-2</v>
      </c>
      <c r="H46">
        <v>4.0000000000000002E-4</v>
      </c>
      <c r="I46">
        <v>1.05E-4</v>
      </c>
      <c r="J46">
        <v>3.657845</v>
      </c>
      <c r="K46">
        <v>1.085E-3</v>
      </c>
      <c r="L46" s="14">
        <v>0.28060000000000002</v>
      </c>
    </row>
    <row r="47" spans="1:12" x14ac:dyDescent="0.2">
      <c r="A47" t="s">
        <v>567</v>
      </c>
      <c r="B47">
        <v>9.62378</v>
      </c>
      <c r="C47">
        <v>0.33197500000000002</v>
      </c>
      <c r="D47">
        <v>2.85547</v>
      </c>
      <c r="E47">
        <v>1.3749999999999999E-3</v>
      </c>
      <c r="F47">
        <v>1.0495000000000001E-2</v>
      </c>
      <c r="G47">
        <v>1.7024999999999998E-2</v>
      </c>
      <c r="H47">
        <v>4.0000000000000002E-4</v>
      </c>
      <c r="I47">
        <v>2.5999999999999998E-4</v>
      </c>
      <c r="J47">
        <v>3.8674200000000001</v>
      </c>
      <c r="K47">
        <v>1.74E-3</v>
      </c>
      <c r="L47" s="14">
        <v>0.55225000000000002</v>
      </c>
    </row>
    <row r="48" spans="1:12" x14ac:dyDescent="0.2">
      <c r="A48" t="s">
        <v>568</v>
      </c>
      <c r="B48">
        <v>8.3377149999999993</v>
      </c>
      <c r="C48">
        <v>4.4774099999999999</v>
      </c>
      <c r="D48">
        <v>3.371245</v>
      </c>
      <c r="E48">
        <v>2.4355000000000002E-2</v>
      </c>
      <c r="F48">
        <v>4.7614999999999998E-2</v>
      </c>
      <c r="G48">
        <v>0.10163999999999999</v>
      </c>
      <c r="H48">
        <v>4.0000000000000002E-4</v>
      </c>
      <c r="I48">
        <v>2.7500000000000002E-4</v>
      </c>
      <c r="J48">
        <v>1.1711750000000001</v>
      </c>
      <c r="K48">
        <v>4.0000000000000002E-4</v>
      </c>
      <c r="L48" s="14">
        <v>1.6517499999999998</v>
      </c>
    </row>
    <row r="49" spans="1:12" x14ac:dyDescent="0.2">
      <c r="A49" t="s">
        <v>569</v>
      </c>
      <c r="B49">
        <v>10.897125000000001</v>
      </c>
      <c r="C49">
        <v>3.4977749999999999</v>
      </c>
      <c r="D49">
        <v>3.6301749999999999</v>
      </c>
      <c r="E49">
        <v>2.9170000000000001E-2</v>
      </c>
      <c r="F49">
        <v>6.3795000000000004E-2</v>
      </c>
      <c r="G49">
        <v>9.1984999999999997E-2</v>
      </c>
      <c r="H49">
        <v>1.81E-3</v>
      </c>
      <c r="I49">
        <v>4.0499999999999998E-4</v>
      </c>
      <c r="J49">
        <v>1.7995000000000001</v>
      </c>
      <c r="K49">
        <v>4.0000000000000002E-4</v>
      </c>
      <c r="L49" s="14">
        <v>0.87144500000000003</v>
      </c>
    </row>
    <row r="50" spans="1:12" x14ac:dyDescent="0.2">
      <c r="A50" t="s">
        <v>570</v>
      </c>
      <c r="B50">
        <v>9.8219399999999997</v>
      </c>
      <c r="C50">
        <v>4.7459699999999998</v>
      </c>
      <c r="D50">
        <v>3.58771</v>
      </c>
      <c r="E50">
        <v>3.5529999999999999E-2</v>
      </c>
      <c r="F50">
        <v>9.9409999999999998E-2</v>
      </c>
      <c r="G50">
        <v>0.15334</v>
      </c>
      <c r="H50">
        <v>4.0000000000000002E-4</v>
      </c>
      <c r="I50">
        <v>5.3499999999999999E-4</v>
      </c>
      <c r="J50">
        <v>1.7992900000000001</v>
      </c>
      <c r="K50">
        <v>4.0000000000000002E-4</v>
      </c>
      <c r="L50" s="14">
        <v>1.5507899999999999</v>
      </c>
    </row>
    <row r="51" spans="1:12" x14ac:dyDescent="0.2">
      <c r="A51" t="s">
        <v>571</v>
      </c>
      <c r="B51">
        <v>7.4205550000000002</v>
      </c>
      <c r="C51">
        <v>0.262355</v>
      </c>
      <c r="D51">
        <v>0.48007</v>
      </c>
      <c r="E51">
        <v>3.6800000000000001E-3</v>
      </c>
      <c r="F51">
        <v>1.7229999999999999E-2</v>
      </c>
      <c r="G51">
        <v>2.265E-2</v>
      </c>
      <c r="H51">
        <v>4.0000000000000002E-4</v>
      </c>
      <c r="I51">
        <v>1.8000000000000001E-4</v>
      </c>
      <c r="J51">
        <v>3.7956500000000002</v>
      </c>
      <c r="K51">
        <v>4.125E-4</v>
      </c>
      <c r="L51" s="14">
        <v>0.469665</v>
      </c>
    </row>
    <row r="52" spans="1:12" x14ac:dyDescent="0.2">
      <c r="A52" t="s">
        <v>572</v>
      </c>
      <c r="B52">
        <v>6.9229900000000004</v>
      </c>
      <c r="C52">
        <v>0.23685500000000001</v>
      </c>
      <c r="D52">
        <v>0.424375</v>
      </c>
      <c r="E52">
        <v>6.5500000000000003E-3</v>
      </c>
      <c r="F52">
        <v>2.1485000000000001E-2</v>
      </c>
      <c r="G52">
        <v>3.0169999999999999E-2</v>
      </c>
      <c r="H52">
        <v>4.0000000000000002E-4</v>
      </c>
      <c r="I52">
        <v>2.1000000000000001E-4</v>
      </c>
      <c r="J52">
        <v>4.3157399999999999</v>
      </c>
      <c r="K52">
        <v>1.2650000000000001E-3</v>
      </c>
      <c r="L52" s="14">
        <v>0.19105</v>
      </c>
    </row>
    <row r="53" spans="1:12" x14ac:dyDescent="0.2">
      <c r="A53" t="s">
        <v>573</v>
      </c>
      <c r="B53">
        <v>8.4513700000000007</v>
      </c>
      <c r="C53">
        <v>0.21682499999999999</v>
      </c>
      <c r="D53">
        <v>0.55723500000000004</v>
      </c>
      <c r="E53">
        <v>4.1700000000000001E-3</v>
      </c>
      <c r="F53">
        <v>1.7950000000000001E-2</v>
      </c>
      <c r="G53">
        <v>3.2335000000000003E-2</v>
      </c>
      <c r="H53">
        <v>4.0000000000000002E-4</v>
      </c>
      <c r="I53">
        <v>2.6499999999999999E-4</v>
      </c>
      <c r="J53">
        <v>4.4772650000000001</v>
      </c>
      <c r="K53">
        <v>4.2499999999999998E-4</v>
      </c>
      <c r="L53" s="14">
        <v>0.28032499999999999</v>
      </c>
    </row>
    <row r="54" spans="1:12" x14ac:dyDescent="0.2">
      <c r="A54" t="s">
        <v>574</v>
      </c>
      <c r="B54">
        <v>9.6250999999999998</v>
      </c>
      <c r="C54">
        <v>2.3275450000000002</v>
      </c>
      <c r="D54">
        <v>0.76768499999999995</v>
      </c>
      <c r="E54">
        <v>4.1625000000000002E-2</v>
      </c>
      <c r="F54">
        <v>8.3555000000000004E-2</v>
      </c>
      <c r="G54">
        <v>0.14795</v>
      </c>
      <c r="H54">
        <v>4.0000000000000002E-4</v>
      </c>
      <c r="I54">
        <v>5.8E-4</v>
      </c>
      <c r="J54">
        <v>1.91933</v>
      </c>
      <c r="K54">
        <v>4.0000000000000002E-4</v>
      </c>
      <c r="L54" s="14">
        <v>1.4203999999999999</v>
      </c>
    </row>
    <row r="55" spans="1:12" x14ac:dyDescent="0.2">
      <c r="A55" t="s">
        <v>575</v>
      </c>
      <c r="B55">
        <v>9.5851849999999992</v>
      </c>
      <c r="C55">
        <v>2.1647449999999999</v>
      </c>
      <c r="D55">
        <v>0.78957500000000003</v>
      </c>
      <c r="E55">
        <v>4.2345000000000001E-2</v>
      </c>
      <c r="F55">
        <v>0.106295</v>
      </c>
      <c r="G55">
        <v>0.16453000000000001</v>
      </c>
      <c r="H55">
        <v>4.0000000000000002E-4</v>
      </c>
      <c r="I55">
        <v>4.95E-4</v>
      </c>
      <c r="J55">
        <v>1.5460050000000001</v>
      </c>
      <c r="K55">
        <v>4.0000000000000002E-4</v>
      </c>
      <c r="L55" s="14">
        <v>2.0774550000000001</v>
      </c>
    </row>
    <row r="56" spans="1:12" x14ac:dyDescent="0.2">
      <c r="A56" t="s">
        <v>576</v>
      </c>
      <c r="B56">
        <v>11.713509999999999</v>
      </c>
      <c r="C56">
        <v>1.8017799999999999</v>
      </c>
      <c r="D56">
        <v>0.88324999999999998</v>
      </c>
      <c r="E56">
        <v>3.9609999999999999E-2</v>
      </c>
      <c r="F56">
        <v>8.4455000000000002E-2</v>
      </c>
      <c r="G56">
        <v>0.13295999999999999</v>
      </c>
      <c r="H56">
        <v>4.0000000000000002E-4</v>
      </c>
      <c r="I56">
        <v>3.8499999999999998E-4</v>
      </c>
      <c r="J56">
        <v>1.4826999999999999</v>
      </c>
      <c r="K56">
        <v>4.0000000000000002E-4</v>
      </c>
      <c r="L56" s="14">
        <v>0.83447499999999997</v>
      </c>
    </row>
    <row r="57" spans="1:12" x14ac:dyDescent="0.2">
      <c r="A57" t="s">
        <v>577</v>
      </c>
      <c r="B57">
        <v>9.631195</v>
      </c>
      <c r="C57">
        <v>0.39717999999999998</v>
      </c>
      <c r="D57">
        <v>3.3156150000000002</v>
      </c>
      <c r="E57">
        <v>1.72E-3</v>
      </c>
      <c r="F57">
        <v>7.6750000000000004E-3</v>
      </c>
      <c r="G57">
        <v>1.4659999999999999E-2</v>
      </c>
      <c r="H57">
        <v>4.0000000000000002E-4</v>
      </c>
      <c r="I57">
        <v>3.4000000000000002E-4</v>
      </c>
      <c r="J57">
        <v>5.2913249999999996</v>
      </c>
      <c r="K57">
        <v>1.255E-3</v>
      </c>
      <c r="L57" s="14">
        <v>0.36651499999999998</v>
      </c>
    </row>
    <row r="58" spans="1:12" x14ac:dyDescent="0.2">
      <c r="A58" t="s">
        <v>578</v>
      </c>
      <c r="B58">
        <v>10.688355</v>
      </c>
      <c r="C58">
        <v>0.44059500000000001</v>
      </c>
      <c r="D58">
        <v>3.7334299999999998</v>
      </c>
      <c r="E58">
        <v>2.0899999999999998E-3</v>
      </c>
      <c r="F58">
        <v>1.3155E-2</v>
      </c>
      <c r="G58">
        <v>1.857E-2</v>
      </c>
      <c r="H58">
        <v>4.0000000000000002E-4</v>
      </c>
      <c r="I58">
        <v>1.75E-4</v>
      </c>
      <c r="J58">
        <v>5.4569549999999998</v>
      </c>
      <c r="K58">
        <v>7.45E-4</v>
      </c>
      <c r="L58" s="14">
        <v>0.43300499999999997</v>
      </c>
    </row>
    <row r="59" spans="1:12" x14ac:dyDescent="0.2">
      <c r="A59" t="s">
        <v>579</v>
      </c>
      <c r="B59">
        <v>8.3129950000000008</v>
      </c>
      <c r="C59">
        <v>0.25296000000000002</v>
      </c>
      <c r="D59">
        <v>1.3817649999999999</v>
      </c>
      <c r="E59">
        <v>2.8050000000000002E-3</v>
      </c>
      <c r="F59">
        <v>1.357E-2</v>
      </c>
      <c r="G59">
        <v>2.6689999999999998E-2</v>
      </c>
      <c r="H59">
        <v>4.0000000000000002E-4</v>
      </c>
      <c r="I59">
        <v>2.4000000000000001E-4</v>
      </c>
      <c r="J59">
        <v>5.0935350000000001</v>
      </c>
      <c r="K59">
        <v>4.0000000000000002E-4</v>
      </c>
      <c r="L59" s="14">
        <v>0.29357</v>
      </c>
    </row>
    <row r="60" spans="1:12" x14ac:dyDescent="0.2">
      <c r="A60" t="s">
        <v>580</v>
      </c>
      <c r="B60">
        <v>7.9229750000000001</v>
      </c>
      <c r="C60">
        <v>4.6841249999999999</v>
      </c>
      <c r="D60">
        <v>2.8751799999999998</v>
      </c>
      <c r="E60">
        <v>4.0415E-2</v>
      </c>
      <c r="F60">
        <v>0.103655</v>
      </c>
      <c r="G60">
        <v>0.130435</v>
      </c>
      <c r="H60">
        <v>4.0000000000000002E-4</v>
      </c>
      <c r="I60">
        <v>6.0499999999999996E-4</v>
      </c>
      <c r="J60">
        <v>1.40873</v>
      </c>
      <c r="K60">
        <v>4.0000000000000002E-4</v>
      </c>
      <c r="L60" s="14">
        <v>1.5921099999999999</v>
      </c>
    </row>
    <row r="61" spans="1:12" x14ac:dyDescent="0.2">
      <c r="A61" t="s">
        <v>581</v>
      </c>
      <c r="B61">
        <v>9.5956200000000003</v>
      </c>
      <c r="C61">
        <v>4.2969549999999996</v>
      </c>
      <c r="D61">
        <v>2.9016799999999998</v>
      </c>
      <c r="E61">
        <v>2.5669999999999998E-2</v>
      </c>
      <c r="F61">
        <v>9.5225000000000004E-2</v>
      </c>
      <c r="G61">
        <v>0.12692000000000001</v>
      </c>
      <c r="H61">
        <v>4.0000000000000002E-4</v>
      </c>
      <c r="I61">
        <v>3.0499999999999999E-4</v>
      </c>
      <c r="J61">
        <v>1.86683</v>
      </c>
      <c r="K61">
        <v>4.0000000000000002E-4</v>
      </c>
      <c r="L61" s="14">
        <v>1.7105300000000001</v>
      </c>
    </row>
    <row r="62" spans="1:12" x14ac:dyDescent="0.2">
      <c r="A62" t="s">
        <v>582</v>
      </c>
      <c r="B62">
        <v>8.1663999999999994</v>
      </c>
      <c r="C62">
        <v>2.9357600000000001</v>
      </c>
      <c r="D62">
        <v>3.310295</v>
      </c>
      <c r="E62">
        <v>2.5545000000000002E-2</v>
      </c>
      <c r="F62">
        <v>5.919E-2</v>
      </c>
      <c r="G62">
        <v>0.104925</v>
      </c>
      <c r="H62">
        <v>4.0000000000000002E-4</v>
      </c>
      <c r="I62">
        <v>4.55E-4</v>
      </c>
      <c r="J62">
        <v>1.395915</v>
      </c>
      <c r="K62">
        <v>4.0000000000000002E-4</v>
      </c>
      <c r="L62" s="14">
        <v>1.4739749999999998</v>
      </c>
    </row>
    <row r="63" spans="1:12" x14ac:dyDescent="0.2">
      <c r="A63" t="s">
        <v>583</v>
      </c>
      <c r="B63">
        <v>8.4313149999999997</v>
      </c>
      <c r="C63">
        <v>0.26674999999999999</v>
      </c>
      <c r="D63">
        <v>3.1853799999999999</v>
      </c>
      <c r="E63">
        <v>4.0000000000000002E-4</v>
      </c>
      <c r="F63">
        <v>9.7549999999999998E-3</v>
      </c>
      <c r="G63">
        <v>1.6389999999999998E-2</v>
      </c>
      <c r="H63">
        <v>4.0000000000000002E-4</v>
      </c>
      <c r="I63">
        <v>1E-4</v>
      </c>
      <c r="J63">
        <v>3.9559799999999998</v>
      </c>
      <c r="K63">
        <v>1.4350000000000001E-3</v>
      </c>
      <c r="L63" s="14">
        <v>0.31607000000000002</v>
      </c>
    </row>
    <row r="64" spans="1:12" x14ac:dyDescent="0.2">
      <c r="A64" t="s">
        <v>584</v>
      </c>
      <c r="B64">
        <v>8.9280150000000003</v>
      </c>
      <c r="C64">
        <v>0.304865</v>
      </c>
      <c r="D64">
        <v>3.292405</v>
      </c>
      <c r="E64">
        <v>1.41E-3</v>
      </c>
      <c r="F64">
        <v>1.4775E-2</v>
      </c>
      <c r="G64">
        <v>2.035E-2</v>
      </c>
      <c r="H64">
        <v>4.0000000000000002E-4</v>
      </c>
      <c r="I64">
        <v>1.95E-4</v>
      </c>
      <c r="J64">
        <v>4.6620749999999997</v>
      </c>
      <c r="K64">
        <v>1.17E-3</v>
      </c>
      <c r="L64" s="14">
        <v>0.20530999999999999</v>
      </c>
    </row>
    <row r="65" spans="1:12" x14ac:dyDescent="0.2">
      <c r="A65" t="s">
        <v>585</v>
      </c>
      <c r="B65">
        <v>12.609059999999999</v>
      </c>
      <c r="C65">
        <v>0.346715</v>
      </c>
      <c r="D65">
        <v>0.86467499999999997</v>
      </c>
      <c r="E65">
        <v>9.1800000000000007E-3</v>
      </c>
      <c r="F65">
        <v>1.687E-2</v>
      </c>
      <c r="G65">
        <v>2.5354999999999999E-2</v>
      </c>
      <c r="H65">
        <v>4.0000000000000002E-4</v>
      </c>
      <c r="I65">
        <v>2.05E-4</v>
      </c>
      <c r="J65">
        <v>7.0410950000000003</v>
      </c>
      <c r="K65">
        <v>1.485E-3</v>
      </c>
      <c r="L65" s="14">
        <v>0.24739</v>
      </c>
    </row>
    <row r="66" spans="1:12" x14ac:dyDescent="0.2">
      <c r="A66" t="s">
        <v>586</v>
      </c>
      <c r="B66">
        <v>9.4241100000000007</v>
      </c>
      <c r="C66">
        <v>4.3807099999999997</v>
      </c>
      <c r="D66">
        <v>3.535345</v>
      </c>
      <c r="E66">
        <v>3.4349999999999999E-2</v>
      </c>
      <c r="F66">
        <v>8.9495000000000005E-2</v>
      </c>
      <c r="G66">
        <v>0.125945</v>
      </c>
      <c r="H66">
        <v>4.0000000000000002E-4</v>
      </c>
      <c r="I66">
        <v>6.6E-4</v>
      </c>
      <c r="J66">
        <v>1.418215</v>
      </c>
      <c r="K66">
        <v>4.0000000000000002E-4</v>
      </c>
      <c r="L66" s="14">
        <v>1.0854999999999999</v>
      </c>
    </row>
    <row r="67" spans="1:12" x14ac:dyDescent="0.2">
      <c r="A67" t="s">
        <v>587</v>
      </c>
      <c r="B67">
        <v>9.4766700000000004</v>
      </c>
      <c r="C67">
        <v>4.1427949999999996</v>
      </c>
      <c r="D67">
        <v>3.7695850000000002</v>
      </c>
      <c r="E67">
        <v>3.2925000000000003E-2</v>
      </c>
      <c r="F67">
        <v>8.6230000000000001E-2</v>
      </c>
      <c r="G67">
        <v>0.115595</v>
      </c>
      <c r="H67">
        <v>4.0000000000000002E-4</v>
      </c>
      <c r="I67">
        <v>5.2499999999999997E-4</v>
      </c>
      <c r="J67">
        <v>1.82969</v>
      </c>
      <c r="K67">
        <v>4.0000000000000002E-4</v>
      </c>
      <c r="L67" s="14">
        <v>1.4727100000000002</v>
      </c>
    </row>
    <row r="68" spans="1:12" x14ac:dyDescent="0.2">
      <c r="A68" t="s">
        <v>588</v>
      </c>
      <c r="B68">
        <v>9.4133049999999994</v>
      </c>
      <c r="C68">
        <v>3.7461549999999999</v>
      </c>
      <c r="D68">
        <v>3.3529300000000002</v>
      </c>
      <c r="E68">
        <v>2.8465000000000001E-2</v>
      </c>
      <c r="F68">
        <v>6.089E-2</v>
      </c>
      <c r="G68">
        <v>9.0795000000000001E-2</v>
      </c>
      <c r="H68">
        <v>4.0000000000000002E-4</v>
      </c>
      <c r="I68">
        <v>4.0499999999999998E-4</v>
      </c>
      <c r="J68">
        <v>0.94358500000000001</v>
      </c>
      <c r="K68">
        <v>4.0000000000000002E-4</v>
      </c>
      <c r="L68" s="14">
        <v>1.6439349999999999</v>
      </c>
    </row>
    <row r="69" spans="1:12" x14ac:dyDescent="0.2">
      <c r="A69" t="s">
        <v>589</v>
      </c>
      <c r="B69">
        <v>8.7750350000000008</v>
      </c>
      <c r="C69">
        <v>0.27654499999999999</v>
      </c>
      <c r="D69">
        <v>2.8776600000000001</v>
      </c>
      <c r="E69">
        <v>1.23E-3</v>
      </c>
      <c r="F69">
        <v>1.4449999999999999E-2</v>
      </c>
      <c r="G69">
        <v>1.856E-2</v>
      </c>
      <c r="H69">
        <v>4.0000000000000002E-4</v>
      </c>
      <c r="I69">
        <v>2.2499999999999999E-4</v>
      </c>
      <c r="J69">
        <v>4.6645849999999998</v>
      </c>
      <c r="K69">
        <v>1.2049999999999999E-3</v>
      </c>
      <c r="L69" s="14">
        <v>0.18020999999999998</v>
      </c>
    </row>
    <row r="70" spans="1:12" x14ac:dyDescent="0.2">
      <c r="A70" t="s">
        <v>590</v>
      </c>
      <c r="B70">
        <v>10.097384999999999</v>
      </c>
      <c r="C70">
        <v>0.27376</v>
      </c>
      <c r="D70">
        <v>2.4644300000000001</v>
      </c>
      <c r="E70">
        <v>7.6000000000000004E-4</v>
      </c>
      <c r="F70">
        <v>1.0500000000000001E-2</v>
      </c>
      <c r="G70">
        <v>1.366E-2</v>
      </c>
      <c r="H70">
        <v>4.0000000000000002E-4</v>
      </c>
      <c r="I70">
        <v>1E-4</v>
      </c>
      <c r="J70">
        <v>5.9648950000000003</v>
      </c>
      <c r="K70">
        <v>7.6499999999999995E-4</v>
      </c>
      <c r="L70" s="14">
        <v>0.34146000000000004</v>
      </c>
    </row>
    <row r="71" spans="1:12" x14ac:dyDescent="0.2">
      <c r="A71" t="s">
        <v>591</v>
      </c>
      <c r="B71">
        <v>8.5066699999999997</v>
      </c>
      <c r="C71">
        <v>0.32282</v>
      </c>
      <c r="D71">
        <v>1.1478299999999999</v>
      </c>
      <c r="E71">
        <v>5.2449999999999997E-3</v>
      </c>
      <c r="F71">
        <v>2.2370000000000001E-2</v>
      </c>
      <c r="G71">
        <v>3.8844999999999998E-2</v>
      </c>
      <c r="H71">
        <v>4.0000000000000002E-4</v>
      </c>
      <c r="I71">
        <v>2.05E-4</v>
      </c>
      <c r="J71">
        <v>5.454815</v>
      </c>
      <c r="K71">
        <v>1.4400000000000001E-3</v>
      </c>
      <c r="L71" s="14">
        <v>0.11615500000000001</v>
      </c>
    </row>
    <row r="72" spans="1:12" x14ac:dyDescent="0.2">
      <c r="A72" t="s">
        <v>592</v>
      </c>
      <c r="B72">
        <v>8.4530049999999992</v>
      </c>
      <c r="C72">
        <v>3.4791599999999998</v>
      </c>
      <c r="D72">
        <v>3.5436100000000001</v>
      </c>
      <c r="E72">
        <v>2.1569999999999999E-2</v>
      </c>
      <c r="F72">
        <v>5.6649999999999999E-2</v>
      </c>
      <c r="G72">
        <v>0.111655</v>
      </c>
      <c r="H72">
        <v>4.0000000000000002E-4</v>
      </c>
      <c r="I72">
        <v>4.0999999999999999E-4</v>
      </c>
      <c r="J72">
        <v>1.931165</v>
      </c>
      <c r="K72">
        <v>4.0000000000000002E-4</v>
      </c>
      <c r="L72" s="14">
        <v>1.501055</v>
      </c>
    </row>
    <row r="73" spans="1:12" x14ac:dyDescent="0.2">
      <c r="A73" t="s">
        <v>593</v>
      </c>
      <c r="B73">
        <v>9.4385049999999993</v>
      </c>
      <c r="C73">
        <v>2.983835</v>
      </c>
      <c r="D73">
        <v>4.0694400000000002</v>
      </c>
      <c r="E73">
        <v>2.3935000000000001E-2</v>
      </c>
      <c r="F73">
        <v>7.8320000000000001E-2</v>
      </c>
      <c r="G73">
        <v>0.12637000000000001</v>
      </c>
      <c r="H73">
        <v>4.0000000000000002E-4</v>
      </c>
      <c r="I73">
        <v>4.0499999999999998E-4</v>
      </c>
      <c r="J73">
        <v>1.807285</v>
      </c>
      <c r="K73">
        <v>4.0000000000000002E-4</v>
      </c>
      <c r="L73" s="14">
        <v>1.2930349999999999</v>
      </c>
    </row>
    <row r="74" spans="1:12" x14ac:dyDescent="0.2">
      <c r="A74" t="s">
        <v>594</v>
      </c>
      <c r="B74">
        <v>10.02849</v>
      </c>
      <c r="C74">
        <v>3.8385500000000001</v>
      </c>
      <c r="D74">
        <v>3.70139</v>
      </c>
      <c r="E74">
        <v>2.3285E-2</v>
      </c>
      <c r="F74">
        <v>5.8485000000000002E-2</v>
      </c>
      <c r="G74">
        <v>9.3215000000000006E-2</v>
      </c>
      <c r="H74">
        <v>6.8999999999999997E-4</v>
      </c>
      <c r="I74">
        <v>1.01E-3</v>
      </c>
      <c r="J74">
        <v>1.5004200000000001</v>
      </c>
      <c r="K74">
        <v>4.0000000000000002E-4</v>
      </c>
      <c r="L74" s="14">
        <v>1.8480099999999999</v>
      </c>
    </row>
    <row r="75" spans="1:12" x14ac:dyDescent="0.2">
      <c r="A75" t="s">
        <v>595</v>
      </c>
      <c r="B75">
        <v>5.0788399999999996</v>
      </c>
      <c r="C75">
        <v>0.25210500000000002</v>
      </c>
      <c r="D75">
        <v>2.29664</v>
      </c>
      <c r="E75">
        <v>3.385E-3</v>
      </c>
      <c r="F75">
        <v>1.0800000000000001E-2</v>
      </c>
      <c r="G75">
        <v>1.8655000000000001E-2</v>
      </c>
      <c r="H75">
        <v>4.0000000000000002E-4</v>
      </c>
      <c r="I75">
        <v>1E-4</v>
      </c>
      <c r="J75">
        <v>3.8339599999999998</v>
      </c>
      <c r="K75">
        <v>4.1399999999999998E-4</v>
      </c>
      <c r="L75" s="14">
        <v>0.279725</v>
      </c>
    </row>
    <row r="76" spans="1:12" x14ac:dyDescent="0.2">
      <c r="A76" t="s">
        <v>596</v>
      </c>
      <c r="B76">
        <v>6.1134950000000003</v>
      </c>
      <c r="C76">
        <v>0.30024499999999998</v>
      </c>
      <c r="D76">
        <v>3.3369450000000001</v>
      </c>
      <c r="E76">
        <v>8.0999999999999996E-4</v>
      </c>
      <c r="F76">
        <v>1.3325E-2</v>
      </c>
      <c r="G76">
        <v>2.0789999999999999E-2</v>
      </c>
      <c r="H76">
        <v>4.0000000000000002E-4</v>
      </c>
      <c r="I76">
        <v>2.4499999999999999E-4</v>
      </c>
      <c r="J76">
        <v>4.714855</v>
      </c>
      <c r="K76">
        <v>4.0000000000000002E-4</v>
      </c>
      <c r="L76" s="14">
        <v>0.20436499999999999</v>
      </c>
    </row>
    <row r="77" spans="1:12" x14ac:dyDescent="0.2">
      <c r="A77" t="s">
        <v>597</v>
      </c>
      <c r="B77">
        <v>6.9734749999999996</v>
      </c>
      <c r="C77">
        <v>0.33003500000000002</v>
      </c>
      <c r="D77">
        <v>2.0053299999999998</v>
      </c>
      <c r="E77">
        <v>2.81E-3</v>
      </c>
      <c r="F77">
        <v>1.5375E-2</v>
      </c>
      <c r="G77">
        <v>2.2935000000000001E-2</v>
      </c>
      <c r="H77">
        <v>4.0000000000000002E-4</v>
      </c>
      <c r="I77">
        <v>3.3E-4</v>
      </c>
      <c r="J77">
        <v>4.905335</v>
      </c>
      <c r="K77">
        <v>1.645E-3</v>
      </c>
      <c r="L77" s="14">
        <v>0.49143500000000001</v>
      </c>
    </row>
    <row r="78" spans="1:12" x14ac:dyDescent="0.2">
      <c r="A78" t="s">
        <v>598</v>
      </c>
      <c r="B78">
        <v>5.7206349999999997</v>
      </c>
      <c r="C78">
        <v>0.23181499999999999</v>
      </c>
      <c r="D78">
        <v>0.83262999999999998</v>
      </c>
      <c r="E78">
        <v>1.6729999999999998E-2</v>
      </c>
      <c r="F78">
        <v>4.6274999999999997E-2</v>
      </c>
      <c r="G78">
        <v>7.0044999999999996E-2</v>
      </c>
      <c r="H78">
        <v>4.0000000000000002E-4</v>
      </c>
      <c r="I78">
        <v>1.65E-4</v>
      </c>
      <c r="J78">
        <v>1.008645</v>
      </c>
      <c r="K78">
        <v>4.0000000000000002E-4</v>
      </c>
      <c r="L78" s="14">
        <v>0.99693500000000002</v>
      </c>
    </row>
    <row r="79" spans="1:12" x14ac:dyDescent="0.2">
      <c r="A79" t="s">
        <v>599</v>
      </c>
      <c r="B79">
        <v>9.4875699999999998</v>
      </c>
      <c r="C79">
        <v>0.50673999999999997</v>
      </c>
      <c r="D79">
        <v>1.6034999999999999</v>
      </c>
      <c r="E79">
        <v>3.1390000000000001E-2</v>
      </c>
      <c r="F79">
        <v>6.4314999999999997E-2</v>
      </c>
      <c r="G79">
        <v>0.1207</v>
      </c>
      <c r="H79">
        <v>4.0000000000000002E-4</v>
      </c>
      <c r="I79">
        <v>5.2999999999999998E-4</v>
      </c>
      <c r="J79">
        <v>1.16422</v>
      </c>
      <c r="K79">
        <v>4.0000000000000002E-4</v>
      </c>
      <c r="L79" s="14">
        <v>0.98725499999999999</v>
      </c>
    </row>
    <row r="80" spans="1:12" x14ac:dyDescent="0.2">
      <c r="A80" t="s">
        <v>600</v>
      </c>
      <c r="B80">
        <v>11.490705</v>
      </c>
      <c r="C80">
        <v>0.34359499999999998</v>
      </c>
      <c r="D80">
        <v>1.4781</v>
      </c>
      <c r="E80">
        <v>3.1300000000000001E-2</v>
      </c>
      <c r="F80">
        <v>6.2210000000000001E-2</v>
      </c>
      <c r="G80">
        <v>0.10212499999999999</v>
      </c>
      <c r="H80">
        <v>4.0000000000000002E-4</v>
      </c>
      <c r="I80">
        <v>4.6999999999999999E-4</v>
      </c>
      <c r="J80">
        <v>1.793015</v>
      </c>
      <c r="K80">
        <v>4.0000000000000002E-4</v>
      </c>
      <c r="L80" s="14">
        <v>2.1029900000000001</v>
      </c>
    </row>
    <row r="81" spans="1:12" x14ac:dyDescent="0.2">
      <c r="A81" t="s">
        <v>601</v>
      </c>
      <c r="B81">
        <v>8.5785300000000007</v>
      </c>
      <c r="C81">
        <v>0.17507</v>
      </c>
      <c r="D81">
        <v>1.666585</v>
      </c>
      <c r="E81">
        <v>2.1099999999999999E-3</v>
      </c>
      <c r="F81">
        <v>1.061E-2</v>
      </c>
      <c r="G81">
        <v>1.8644999999999998E-2</v>
      </c>
      <c r="H81">
        <v>4.0000000000000002E-4</v>
      </c>
      <c r="I81">
        <v>2.9999999999999997E-4</v>
      </c>
      <c r="J81">
        <v>5.4618950000000002</v>
      </c>
      <c r="K81">
        <v>1.225E-3</v>
      </c>
      <c r="L81" s="14">
        <v>0.34073999999999999</v>
      </c>
    </row>
    <row r="82" spans="1:12" x14ac:dyDescent="0.2">
      <c r="A82" t="s">
        <v>602</v>
      </c>
      <c r="B82">
        <v>9.1676000000000002</v>
      </c>
      <c r="C82">
        <v>0.38838499999999998</v>
      </c>
      <c r="D82">
        <v>3.5543300000000002</v>
      </c>
      <c r="E82">
        <v>1.49E-3</v>
      </c>
      <c r="F82">
        <v>1.3429999999999999E-2</v>
      </c>
      <c r="G82">
        <v>2.299E-2</v>
      </c>
      <c r="H82">
        <v>4.0000000000000002E-4</v>
      </c>
      <c r="I82">
        <v>1.35E-4</v>
      </c>
      <c r="J82">
        <v>4.1778149999999998</v>
      </c>
      <c r="K82">
        <v>1.1299999999999999E-3</v>
      </c>
      <c r="L82" s="14">
        <v>0.20447500000000002</v>
      </c>
    </row>
    <row r="83" spans="1:12" x14ac:dyDescent="0.2">
      <c r="A83" t="s">
        <v>603</v>
      </c>
      <c r="B83">
        <v>11.848330000000001</v>
      </c>
      <c r="C83">
        <v>0.26060499999999998</v>
      </c>
      <c r="D83">
        <v>2.0616300000000001</v>
      </c>
      <c r="E83">
        <v>6.1599999999999997E-3</v>
      </c>
      <c r="F83">
        <v>2.0275000000000001E-2</v>
      </c>
      <c r="G83">
        <v>3.1465E-2</v>
      </c>
      <c r="H83">
        <v>4.0000000000000002E-4</v>
      </c>
      <c r="I83">
        <v>2.7500000000000002E-4</v>
      </c>
      <c r="J83">
        <v>6.6864699999999999</v>
      </c>
      <c r="K83">
        <v>1.6999999999999999E-3</v>
      </c>
      <c r="L83" s="14">
        <v>0.26335999999999998</v>
      </c>
    </row>
    <row r="84" spans="1:12" x14ac:dyDescent="0.2">
      <c r="A84" t="s">
        <v>604</v>
      </c>
      <c r="B84">
        <v>9.7270000000000003</v>
      </c>
      <c r="C84">
        <v>3.5214150000000002</v>
      </c>
      <c r="D84">
        <v>3.4705349999999999</v>
      </c>
      <c r="E84">
        <v>2.7255000000000001E-2</v>
      </c>
      <c r="F84">
        <v>6.2560000000000004E-2</v>
      </c>
      <c r="G84">
        <v>9.9784999999999999E-2</v>
      </c>
      <c r="H84">
        <v>4.0000000000000002E-4</v>
      </c>
      <c r="I84">
        <v>4.55E-4</v>
      </c>
      <c r="J84">
        <v>1.7011849999999999</v>
      </c>
      <c r="K84">
        <v>4.0000000000000002E-4</v>
      </c>
      <c r="L84" s="14">
        <v>1.64975</v>
      </c>
    </row>
    <row r="85" spans="1:12" x14ac:dyDescent="0.2">
      <c r="A85" t="s">
        <v>605</v>
      </c>
      <c r="B85">
        <v>10.265174999999999</v>
      </c>
      <c r="C85">
        <v>3.80829</v>
      </c>
      <c r="D85">
        <v>3.3463400000000001</v>
      </c>
      <c r="E85">
        <v>3.1304999999999999E-2</v>
      </c>
      <c r="F85">
        <v>5.8235000000000002E-2</v>
      </c>
      <c r="G85">
        <v>8.3710000000000007E-2</v>
      </c>
      <c r="H85">
        <v>4.0000000000000002E-4</v>
      </c>
      <c r="I85">
        <v>7.2499999999999995E-4</v>
      </c>
      <c r="J85">
        <v>1.6786650000000001</v>
      </c>
      <c r="K85">
        <v>4.0000000000000002E-4</v>
      </c>
      <c r="L85" s="14">
        <v>0.67307500000000009</v>
      </c>
    </row>
    <row r="86" spans="1:12" x14ac:dyDescent="0.2">
      <c r="A86" t="s">
        <v>606</v>
      </c>
      <c r="B86">
        <v>9.0427049999999998</v>
      </c>
      <c r="C86">
        <v>4.3239799999999997</v>
      </c>
      <c r="D86">
        <v>4.0403349999999998</v>
      </c>
      <c r="E86">
        <v>3.4005000000000001E-2</v>
      </c>
      <c r="F86">
        <v>8.4864999999999996E-2</v>
      </c>
      <c r="G86">
        <v>0.12736500000000001</v>
      </c>
      <c r="H86">
        <v>4.0000000000000002E-4</v>
      </c>
      <c r="I86">
        <v>4.2499999999999998E-4</v>
      </c>
      <c r="J86">
        <v>1.80596</v>
      </c>
      <c r="K86">
        <v>4.0000000000000002E-4</v>
      </c>
      <c r="L86" s="14">
        <v>1.9961150000000001</v>
      </c>
    </row>
    <row r="87" spans="1:12" x14ac:dyDescent="0.2">
      <c r="A87" t="s">
        <v>607</v>
      </c>
      <c r="B87">
        <v>8.6623999999999999</v>
      </c>
      <c r="C87">
        <v>2.9938250000000002</v>
      </c>
      <c r="D87">
        <v>3.21034</v>
      </c>
      <c r="E87">
        <v>2.673E-2</v>
      </c>
      <c r="F87">
        <v>9.0719999999999995E-2</v>
      </c>
      <c r="G87">
        <v>0.1046</v>
      </c>
      <c r="H87">
        <v>4.0000000000000002E-4</v>
      </c>
      <c r="I87">
        <v>2.2000000000000001E-4</v>
      </c>
      <c r="J87">
        <v>1.070465</v>
      </c>
      <c r="K87">
        <v>4.0000000000000002E-4</v>
      </c>
      <c r="L87" s="14">
        <v>0.242205</v>
      </c>
    </row>
    <row r="88" spans="1:12" x14ac:dyDescent="0.2">
      <c r="A88" t="s">
        <v>608</v>
      </c>
      <c r="B88">
        <v>12.987885</v>
      </c>
      <c r="C88">
        <v>2.5248050000000002</v>
      </c>
      <c r="D88">
        <v>3.0996100000000002</v>
      </c>
      <c r="E88">
        <v>1.8884999999999999E-2</v>
      </c>
      <c r="F88">
        <v>7.6855000000000007E-2</v>
      </c>
      <c r="G88">
        <v>7.2679999999999995E-2</v>
      </c>
      <c r="H88">
        <v>4.0000000000000002E-4</v>
      </c>
      <c r="I88">
        <v>7.85E-4</v>
      </c>
      <c r="J88">
        <v>1.34829</v>
      </c>
      <c r="K88">
        <v>4.0000000000000002E-4</v>
      </c>
      <c r="L88" s="14">
        <v>0.42672500000000002</v>
      </c>
    </row>
    <row r="89" spans="1:12" x14ac:dyDescent="0.2">
      <c r="A89" t="s">
        <v>609</v>
      </c>
      <c r="B89">
        <v>7.8416100000000002</v>
      </c>
      <c r="C89">
        <v>2.0842450000000001</v>
      </c>
      <c r="D89">
        <v>3.0377000000000001</v>
      </c>
      <c r="E89">
        <v>3.0875E-2</v>
      </c>
      <c r="F89">
        <v>6.3380000000000006E-2</v>
      </c>
      <c r="G89">
        <v>8.6355000000000001E-2</v>
      </c>
      <c r="H89">
        <v>4.0000000000000002E-4</v>
      </c>
      <c r="I89">
        <v>4.8500000000000003E-4</v>
      </c>
      <c r="J89">
        <v>1.11853</v>
      </c>
      <c r="K89">
        <v>4.0000000000000002E-4</v>
      </c>
      <c r="L89" s="14">
        <v>0.38143000000000005</v>
      </c>
    </row>
    <row r="90" spans="1:12" x14ac:dyDescent="0.2">
      <c r="A90" t="s">
        <v>610</v>
      </c>
      <c r="B90">
        <v>0.62801499999999999</v>
      </c>
      <c r="C90">
        <v>4.0000000000000002E-4</v>
      </c>
      <c r="D90">
        <v>1.7600000000000001E-2</v>
      </c>
      <c r="E90">
        <v>1.4549999999999999E-3</v>
      </c>
      <c r="F90">
        <v>4.0000000000000002E-4</v>
      </c>
      <c r="G90">
        <v>4.1250000000000002E-3</v>
      </c>
      <c r="H90">
        <v>4.0000000000000002E-4</v>
      </c>
      <c r="I90">
        <v>6.8000000000000005E-4</v>
      </c>
      <c r="J90">
        <v>0.54764999999999997</v>
      </c>
      <c r="K90">
        <v>4.0000000000000002E-4</v>
      </c>
      <c r="L90" s="14">
        <v>0.10741000000000001</v>
      </c>
    </row>
    <row r="91" spans="1:12" x14ac:dyDescent="0.2">
      <c r="A91" t="s">
        <v>611</v>
      </c>
      <c r="B91">
        <v>0.64087499999999997</v>
      </c>
      <c r="C91">
        <v>4.0000000000000002E-4</v>
      </c>
      <c r="D91">
        <v>2.0629999999999999E-2</v>
      </c>
      <c r="E91">
        <v>3.46E-3</v>
      </c>
      <c r="F91">
        <v>4.0000000000000002E-4</v>
      </c>
      <c r="G91">
        <v>2.7899999999999999E-3</v>
      </c>
      <c r="H91">
        <v>4.0000000000000002E-4</v>
      </c>
      <c r="I91">
        <v>5.0500000000000002E-4</v>
      </c>
      <c r="J91">
        <v>0.29977500000000001</v>
      </c>
      <c r="K91">
        <v>4.0000000000000002E-4</v>
      </c>
      <c r="L91" s="14">
        <v>0.121695</v>
      </c>
    </row>
    <row r="92" spans="1:12" x14ac:dyDescent="0.2">
      <c r="A92" t="s">
        <v>612</v>
      </c>
      <c r="B92">
        <v>0.88002999999999998</v>
      </c>
      <c r="C92">
        <v>4.0000000000000002E-4</v>
      </c>
      <c r="D92">
        <v>2.0965000000000001E-2</v>
      </c>
      <c r="E92">
        <v>4.0000000000000002E-4</v>
      </c>
      <c r="F92">
        <v>4.0000000000000002E-4</v>
      </c>
      <c r="G92">
        <v>3.98E-3</v>
      </c>
      <c r="H92">
        <v>4.0000000000000002E-4</v>
      </c>
      <c r="I92">
        <v>7.5000000000000002E-4</v>
      </c>
      <c r="J92">
        <v>0.58315499999999998</v>
      </c>
      <c r="K92">
        <v>4.0000000000000002E-4</v>
      </c>
      <c r="L92" s="14">
        <v>3.8515000000000001E-2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4"/>
  <sheetViews>
    <sheetView workbookViewId="0">
      <selection activeCell="G39" sqref="G39"/>
    </sheetView>
  </sheetViews>
  <sheetFormatPr baseColWidth="10" defaultRowHeight="15" x14ac:dyDescent="0.2"/>
  <cols>
    <col min="1" max="1" width="19.1640625" customWidth="1"/>
  </cols>
  <sheetData>
    <row r="1" spans="1:12" x14ac:dyDescent="0.2">
      <c r="A1" t="s">
        <v>623</v>
      </c>
      <c r="B1" t="s">
        <v>622</v>
      </c>
      <c r="C1" t="s">
        <v>512</v>
      </c>
      <c r="D1" t="s">
        <v>513</v>
      </c>
      <c r="E1" t="s">
        <v>514</v>
      </c>
      <c r="F1" t="s">
        <v>515</v>
      </c>
      <c r="G1" t="s">
        <v>516</v>
      </c>
      <c r="H1" t="s">
        <v>517</v>
      </c>
      <c r="I1" t="s">
        <v>518</v>
      </c>
      <c r="J1" t="s">
        <v>520</v>
      </c>
      <c r="K1" t="s">
        <v>521</v>
      </c>
      <c r="L1" t="s">
        <v>613</v>
      </c>
    </row>
    <row r="2" spans="1:12" x14ac:dyDescent="0.2">
      <c r="A2" t="s">
        <v>614</v>
      </c>
      <c r="B2">
        <v>2477</v>
      </c>
      <c r="C2">
        <v>14.1978878</v>
      </c>
      <c r="D2">
        <v>2.4511804879999999</v>
      </c>
      <c r="E2">
        <v>0.49283414599999997</v>
      </c>
      <c r="F2">
        <v>8.9590243999999999E-2</v>
      </c>
      <c r="G2">
        <v>5.4614634000000002E-2</v>
      </c>
      <c r="H2">
        <v>6.6278049000000006E-2</v>
      </c>
      <c r="I2">
        <v>3.6146339999999998E-3</v>
      </c>
      <c r="J2">
        <v>0.39255121999999998</v>
      </c>
      <c r="K2">
        <v>1.0956097999999999E-2</v>
      </c>
      <c r="L2">
        <v>4.0000000000000002E-4</v>
      </c>
    </row>
    <row r="3" spans="1:12" x14ac:dyDescent="0.2">
      <c r="A3" t="s">
        <v>614</v>
      </c>
      <c r="B3">
        <v>2478</v>
      </c>
      <c r="C3">
        <v>15.61265369</v>
      </c>
      <c r="D3">
        <v>2.803760246</v>
      </c>
      <c r="E3">
        <v>0.77625</v>
      </c>
      <c r="F3">
        <v>4.2633196999999998E-2</v>
      </c>
      <c r="G3">
        <v>4.1219262E-2</v>
      </c>
      <c r="H3">
        <v>4.1977459000000002E-2</v>
      </c>
      <c r="I3">
        <v>3.596311E-3</v>
      </c>
      <c r="J3">
        <v>0.13278688499999999</v>
      </c>
      <c r="K3">
        <v>1.6413934000000002E-2</v>
      </c>
      <c r="L3">
        <v>4.40574E-4</v>
      </c>
    </row>
    <row r="4" spans="1:12" x14ac:dyDescent="0.2">
      <c r="A4" t="s">
        <v>615</v>
      </c>
      <c r="B4">
        <v>2481</v>
      </c>
      <c r="C4">
        <v>14.488633500000001</v>
      </c>
      <c r="D4">
        <v>2.1045683249999998</v>
      </c>
      <c r="E4">
        <v>0.51016009100000004</v>
      </c>
      <c r="F4">
        <v>6.0297312999999998E-2</v>
      </c>
      <c r="G4">
        <v>5.1457976000000002E-2</v>
      </c>
      <c r="H4">
        <v>5.8187535999999998E-2</v>
      </c>
      <c r="I4">
        <v>3.8593479999999999E-3</v>
      </c>
      <c r="J4">
        <v>0.50925100099999998</v>
      </c>
      <c r="K4">
        <v>1.7112636000000001E-2</v>
      </c>
      <c r="L4">
        <v>1.0234420000000001E-3</v>
      </c>
    </row>
    <row r="5" spans="1:12" x14ac:dyDescent="0.2">
      <c r="A5" t="s">
        <v>615</v>
      </c>
      <c r="B5">
        <v>2482</v>
      </c>
      <c r="C5">
        <v>15.12974889</v>
      </c>
      <c r="D5">
        <v>2.658087149</v>
      </c>
      <c r="E5">
        <v>0.68680945299999996</v>
      </c>
      <c r="F5">
        <v>5.3810930999999999E-2</v>
      </c>
      <c r="G5">
        <v>5.7570162000000001E-2</v>
      </c>
      <c r="H5">
        <v>6.9933529999999994E-2</v>
      </c>
      <c r="I5">
        <v>3.4268829999999999E-3</v>
      </c>
      <c r="J5">
        <v>0.29602658799999998</v>
      </c>
      <c r="K5">
        <v>1.5472674E-2</v>
      </c>
      <c r="L5">
        <v>5.7607100000000005E-4</v>
      </c>
    </row>
    <row r="6" spans="1:12" x14ac:dyDescent="0.2">
      <c r="A6" t="s">
        <v>616</v>
      </c>
      <c r="B6">
        <v>2484</v>
      </c>
      <c r="C6">
        <v>13.294042129999999</v>
      </c>
      <c r="D6">
        <v>1.187636242</v>
      </c>
      <c r="E6">
        <v>0.28370779000000002</v>
      </c>
      <c r="F6">
        <v>3.4964895000000003E-2</v>
      </c>
      <c r="G6">
        <v>2.6486124999999999E-2</v>
      </c>
      <c r="H6">
        <v>2.0986292E-2</v>
      </c>
      <c r="I6">
        <v>2.012705E-3</v>
      </c>
      <c r="J6">
        <v>0.37643931800000002</v>
      </c>
      <c r="K6">
        <v>9.0270809999999993E-3</v>
      </c>
      <c r="L6">
        <v>6.5195599999999998E-4</v>
      </c>
    </row>
    <row r="7" spans="1:12" x14ac:dyDescent="0.2">
      <c r="A7" t="s">
        <v>616</v>
      </c>
      <c r="B7">
        <v>2486</v>
      </c>
      <c r="C7">
        <v>10.8427539</v>
      </c>
      <c r="D7">
        <v>1.0608313650000001</v>
      </c>
      <c r="E7">
        <v>0.195795938</v>
      </c>
      <c r="F7">
        <v>2.6310817E-2</v>
      </c>
      <c r="G7">
        <v>2.5229097999999998E-2</v>
      </c>
      <c r="H7">
        <v>2.1388758000000001E-2</v>
      </c>
      <c r="I7">
        <v>4.0000000000000002E-4</v>
      </c>
      <c r="J7">
        <v>0.44893717500000002</v>
      </c>
      <c r="K7">
        <v>8.989136E-3</v>
      </c>
      <c r="L7">
        <v>4.0000000000000002E-4</v>
      </c>
    </row>
    <row r="8" spans="1:12" x14ac:dyDescent="0.2">
      <c r="A8" t="s">
        <v>616</v>
      </c>
      <c r="B8">
        <v>2487</v>
      </c>
      <c r="C8">
        <v>12.91808799</v>
      </c>
      <c r="D8">
        <v>1.2988324870000001</v>
      </c>
      <c r="E8">
        <v>0.44752115100000001</v>
      </c>
      <c r="F8">
        <v>3.0651438E-2</v>
      </c>
      <c r="G8">
        <v>4.1438240000000001E-2</v>
      </c>
      <c r="H8">
        <v>2.4780033999999999E-2</v>
      </c>
      <c r="I8">
        <v>8.2910299999999998E-4</v>
      </c>
      <c r="J8">
        <v>7.3637902000000005E-2</v>
      </c>
      <c r="K8">
        <v>6.7512689999999998E-3</v>
      </c>
      <c r="L8">
        <v>4.0000000000000002E-4</v>
      </c>
    </row>
    <row r="9" spans="1:12" x14ac:dyDescent="0.2">
      <c r="A9" t="s">
        <v>614</v>
      </c>
      <c r="B9">
        <v>2541</v>
      </c>
      <c r="C9">
        <v>10.455347010000001</v>
      </c>
      <c r="D9">
        <v>1.897501509</v>
      </c>
      <c r="E9">
        <v>0.57644538300000003</v>
      </c>
      <c r="F9">
        <v>5.7797224000000001E-2</v>
      </c>
      <c r="G9">
        <v>6.4646951999999994E-2</v>
      </c>
      <c r="H9">
        <v>5.0162945E-2</v>
      </c>
      <c r="I9">
        <v>1.659626E-3</v>
      </c>
      <c r="J9">
        <v>0.21080868999999999</v>
      </c>
      <c r="K9">
        <v>1.1225106E-2</v>
      </c>
      <c r="L9">
        <v>5.9746500000000004E-4</v>
      </c>
    </row>
    <row r="10" spans="1:12" x14ac:dyDescent="0.2">
      <c r="A10" t="s">
        <v>614</v>
      </c>
      <c r="B10">
        <v>2544</v>
      </c>
      <c r="C10">
        <v>10.693277439999999</v>
      </c>
      <c r="D10">
        <v>2.1632012199999999</v>
      </c>
      <c r="E10">
        <v>0.44705792700000002</v>
      </c>
      <c r="F10">
        <v>7.1684450999999996E-2</v>
      </c>
      <c r="G10">
        <v>7.7911585000000005E-2</v>
      </c>
      <c r="H10">
        <v>7.1387195000000001E-2</v>
      </c>
      <c r="I10">
        <v>1.3490850000000001E-3</v>
      </c>
      <c r="J10">
        <v>0.22287347599999999</v>
      </c>
      <c r="K10">
        <v>9.8246949999999996E-3</v>
      </c>
      <c r="L10">
        <v>4.0000000000000002E-4</v>
      </c>
    </row>
    <row r="11" spans="1:12" x14ac:dyDescent="0.2">
      <c r="A11" t="s">
        <v>614</v>
      </c>
      <c r="B11">
        <v>2545</v>
      </c>
      <c r="C11">
        <v>11.15254444</v>
      </c>
      <c r="D11">
        <v>2.2739388890000001</v>
      </c>
      <c r="E11">
        <v>0.441672222</v>
      </c>
      <c r="F11">
        <v>7.3427777999999999E-2</v>
      </c>
      <c r="G11">
        <v>8.5772221999999995E-2</v>
      </c>
      <c r="H11">
        <v>7.9994443999999998E-2</v>
      </c>
      <c r="I11">
        <v>3.3388889999999998E-3</v>
      </c>
      <c r="J11">
        <v>0.142227778</v>
      </c>
      <c r="K11">
        <v>1.1094444E-2</v>
      </c>
      <c r="L11">
        <v>1.0722220000000001E-3</v>
      </c>
    </row>
    <row r="12" spans="1:12" x14ac:dyDescent="0.2">
      <c r="A12" t="s">
        <v>615</v>
      </c>
      <c r="B12">
        <v>2546</v>
      </c>
      <c r="C12">
        <v>12.751168440000001</v>
      </c>
      <c r="D12">
        <v>2.4720789070000002</v>
      </c>
      <c r="E12">
        <v>0.46827010600000002</v>
      </c>
      <c r="F12">
        <v>4.4279210999999999E-2</v>
      </c>
      <c r="G12">
        <v>8.5068284999999993E-2</v>
      </c>
      <c r="H12">
        <v>6.7921093000000002E-2</v>
      </c>
      <c r="I12">
        <v>4.0000000000000002E-4</v>
      </c>
      <c r="J12">
        <v>0.15198786</v>
      </c>
      <c r="K12">
        <v>1.7890744E-2</v>
      </c>
      <c r="L12">
        <v>4.0000000000000002E-4</v>
      </c>
    </row>
    <row r="13" spans="1:12" x14ac:dyDescent="0.2">
      <c r="A13" t="s">
        <v>615</v>
      </c>
      <c r="B13">
        <v>2549</v>
      </c>
      <c r="C13">
        <v>11.295</v>
      </c>
      <c r="D13">
        <v>1.949123103</v>
      </c>
      <c r="E13">
        <v>0.52769814500000001</v>
      </c>
      <c r="F13">
        <v>6.8988196000000002E-2</v>
      </c>
      <c r="G13">
        <v>8.2369309000000002E-2</v>
      </c>
      <c r="H13">
        <v>6.7015176999999995E-2</v>
      </c>
      <c r="I13">
        <v>4.2158499999999998E-4</v>
      </c>
      <c r="J13">
        <v>0.63603709900000005</v>
      </c>
      <c r="K13">
        <v>1.8608769000000001E-2</v>
      </c>
      <c r="L13">
        <v>4.0472199999999999E-4</v>
      </c>
    </row>
    <row r="14" spans="1:12" x14ac:dyDescent="0.2">
      <c r="A14" t="s">
        <v>615</v>
      </c>
      <c r="B14">
        <v>2550</v>
      </c>
      <c r="C14">
        <v>13.548608059999999</v>
      </c>
      <c r="D14">
        <v>2.257350427</v>
      </c>
      <c r="E14">
        <v>0.59676434700000003</v>
      </c>
      <c r="F14">
        <v>3.8278388000000003E-2</v>
      </c>
      <c r="G14">
        <v>4.6776557000000003E-2</v>
      </c>
      <c r="H14">
        <v>3.9291818999999999E-2</v>
      </c>
      <c r="I14">
        <v>4.0000000000000002E-4</v>
      </c>
      <c r="J14">
        <v>0.51024420000000004</v>
      </c>
      <c r="K14">
        <v>1.8595849000000001E-2</v>
      </c>
      <c r="L14">
        <v>4.1513999999999999E-4</v>
      </c>
    </row>
    <row r="15" spans="1:12" x14ac:dyDescent="0.2">
      <c r="A15" t="s">
        <v>616</v>
      </c>
      <c r="B15">
        <v>2553</v>
      </c>
      <c r="C15">
        <v>12.81372455</v>
      </c>
      <c r="D15">
        <v>1.148383234</v>
      </c>
      <c r="E15">
        <v>0.14222754500000001</v>
      </c>
      <c r="F15">
        <v>1.8023951999999999E-2</v>
      </c>
      <c r="G15">
        <v>3.8035927999999997E-2</v>
      </c>
      <c r="H15">
        <v>1.7748502999999999E-2</v>
      </c>
      <c r="I15">
        <v>4.0000000000000002E-4</v>
      </c>
      <c r="J15">
        <v>0.12142515</v>
      </c>
      <c r="K15">
        <v>1.6634731E-2</v>
      </c>
      <c r="L15">
        <v>4.0000000000000002E-4</v>
      </c>
    </row>
    <row r="16" spans="1:12" x14ac:dyDescent="0.2">
      <c r="A16" t="s">
        <v>616</v>
      </c>
      <c r="B16">
        <v>2555</v>
      </c>
      <c r="C16">
        <v>11.638202550000001</v>
      </c>
      <c r="D16">
        <v>0.94201207200000003</v>
      </c>
      <c r="E16">
        <v>0.26674714999999999</v>
      </c>
      <c r="F16">
        <v>3.3668679E-2</v>
      </c>
      <c r="G16">
        <v>3.3346747000000003E-2</v>
      </c>
      <c r="H16">
        <v>1.9946345000000001E-2</v>
      </c>
      <c r="I16">
        <v>4.0000000000000002E-4</v>
      </c>
      <c r="J16">
        <v>0.34113346700000002</v>
      </c>
      <c r="K16">
        <v>2.0778001000000001E-2</v>
      </c>
      <c r="L16">
        <v>5.4326000000000005E-4</v>
      </c>
    </row>
    <row r="17" spans="1:12" x14ac:dyDescent="0.2">
      <c r="A17" t="s">
        <v>617</v>
      </c>
      <c r="B17">
        <v>2556</v>
      </c>
      <c r="C17">
        <v>13.646637610000001</v>
      </c>
      <c r="D17">
        <v>1.4154420919999999</v>
      </c>
      <c r="E17">
        <v>1.312951432</v>
      </c>
      <c r="F17">
        <v>1.6600249000000001E-2</v>
      </c>
      <c r="G17">
        <v>3.4956412999999999E-2</v>
      </c>
      <c r="H17">
        <v>6.4122042000000004E-2</v>
      </c>
      <c r="I17">
        <v>4.0000000000000002E-4</v>
      </c>
      <c r="J17">
        <v>0.71884184299999998</v>
      </c>
      <c r="K17">
        <v>1.8057284999999999E-2</v>
      </c>
      <c r="L17">
        <v>4.0000000000000002E-4</v>
      </c>
    </row>
    <row r="18" spans="1:12" x14ac:dyDescent="0.2">
      <c r="A18" t="s">
        <v>617</v>
      </c>
      <c r="B18">
        <v>2558</v>
      </c>
      <c r="C18">
        <v>6.6924029569999997</v>
      </c>
      <c r="D18">
        <v>1.4838077629999999</v>
      </c>
      <c r="E18">
        <v>0.69012938999999995</v>
      </c>
      <c r="F18">
        <v>3.87061E-2</v>
      </c>
      <c r="G18">
        <v>8.6062846999999998E-2</v>
      </c>
      <c r="H18">
        <v>0.104306839</v>
      </c>
      <c r="I18">
        <v>4.0000000000000002E-4</v>
      </c>
      <c r="J18">
        <v>1.354731978</v>
      </c>
      <c r="K18">
        <v>7.1534199999999997E-3</v>
      </c>
      <c r="L18">
        <v>4.0000000000000002E-4</v>
      </c>
    </row>
    <row r="19" spans="1:12" x14ac:dyDescent="0.2">
      <c r="A19" t="s">
        <v>617</v>
      </c>
      <c r="B19">
        <v>2575</v>
      </c>
      <c r="C19">
        <v>12.198475889999999</v>
      </c>
      <c r="D19">
        <v>2.531524106</v>
      </c>
      <c r="E19">
        <v>1.287822706</v>
      </c>
      <c r="F19">
        <v>3.9704509999999998E-2</v>
      </c>
      <c r="G19">
        <v>6.029549E-2</v>
      </c>
      <c r="H19">
        <v>8.4665630000000006E-2</v>
      </c>
      <c r="I19">
        <v>4.0000000000000002E-4</v>
      </c>
      <c r="J19">
        <v>0.50241057499999997</v>
      </c>
      <c r="K19">
        <v>1.9129080000000001E-3</v>
      </c>
      <c r="L19">
        <v>4.0000000000000002E-4</v>
      </c>
    </row>
    <row r="20" spans="1:12" x14ac:dyDescent="0.2">
      <c r="A20" t="s">
        <v>617</v>
      </c>
      <c r="B20">
        <v>2576</v>
      </c>
      <c r="C20">
        <v>10.790836730000001</v>
      </c>
      <c r="D20">
        <v>1.4821020410000001</v>
      </c>
      <c r="E20">
        <v>0.42624489799999998</v>
      </c>
      <c r="F20">
        <v>3.3102040999999999E-2</v>
      </c>
      <c r="G20">
        <v>8.5795917999999999E-2</v>
      </c>
      <c r="H20">
        <v>0.105326531</v>
      </c>
      <c r="I20">
        <v>4.0000000000000002E-4</v>
      </c>
      <c r="J20">
        <v>0.675469388</v>
      </c>
      <c r="K20">
        <v>6.2244900000000001E-3</v>
      </c>
      <c r="L20">
        <v>4.0000000000000002E-4</v>
      </c>
    </row>
    <row r="21" spans="1:12" x14ac:dyDescent="0.2">
      <c r="A21" t="s">
        <v>617</v>
      </c>
      <c r="B21">
        <v>2578</v>
      </c>
      <c r="C21">
        <v>17.23514986</v>
      </c>
      <c r="D21">
        <v>2.0357765670000001</v>
      </c>
      <c r="E21">
        <v>1.534168937</v>
      </c>
      <c r="F21">
        <v>2.9918256000000001E-2</v>
      </c>
      <c r="G21">
        <v>3.0054496E-2</v>
      </c>
      <c r="H21">
        <v>7.5381471000000005E-2</v>
      </c>
      <c r="I21">
        <v>4.0000000000000002E-4</v>
      </c>
      <c r="J21">
        <v>0.62329700300000002</v>
      </c>
      <c r="K21">
        <v>1.5490462999999999E-2</v>
      </c>
      <c r="L21">
        <v>4.0000000000000002E-4</v>
      </c>
    </row>
    <row r="22" spans="1:12" x14ac:dyDescent="0.2">
      <c r="A22" t="s">
        <v>618</v>
      </c>
      <c r="B22" t="s">
        <v>619</v>
      </c>
      <c r="C22">
        <v>3.277079482</v>
      </c>
      <c r="D22">
        <v>19.75208872</v>
      </c>
      <c r="E22">
        <v>4.0000000000000002E-4</v>
      </c>
      <c r="F22">
        <v>4.0000000000000002E-4</v>
      </c>
      <c r="G22">
        <v>2.1663585999999999E-2</v>
      </c>
      <c r="H22">
        <v>4.0000000000000002E-4</v>
      </c>
      <c r="I22">
        <v>4.0000000000000002E-4</v>
      </c>
      <c r="J22">
        <v>1.0945656189999999</v>
      </c>
      <c r="K22">
        <v>4.0000000000000002E-4</v>
      </c>
      <c r="L22">
        <v>1.349353E-3</v>
      </c>
    </row>
    <row r="23" spans="1:12" x14ac:dyDescent="0.2">
      <c r="A23" t="s">
        <v>618</v>
      </c>
      <c r="B23" t="s">
        <v>620</v>
      </c>
      <c r="C23">
        <v>2.8615289979999998</v>
      </c>
      <c r="D23">
        <v>12.76739895</v>
      </c>
      <c r="E23">
        <v>4.0000000000000002E-4</v>
      </c>
      <c r="F23">
        <v>4.0000000000000002E-4</v>
      </c>
      <c r="G23">
        <v>2.5518453E-2</v>
      </c>
      <c r="H23">
        <v>4.0000000000000002E-4</v>
      </c>
      <c r="I23">
        <v>4.0000000000000002E-4</v>
      </c>
      <c r="J23">
        <v>1.033462214</v>
      </c>
      <c r="K23">
        <v>4.0000000000000002E-4</v>
      </c>
      <c r="L23">
        <v>1.318102E-3</v>
      </c>
    </row>
    <row r="24" spans="1:12" x14ac:dyDescent="0.2">
      <c r="A24" t="s">
        <v>618</v>
      </c>
      <c r="B24" t="s">
        <v>621</v>
      </c>
      <c r="C24">
        <v>2.3868315020000002</v>
      </c>
      <c r="D24">
        <v>19.803846149999998</v>
      </c>
      <c r="E24">
        <v>4.0000000000000002E-4</v>
      </c>
      <c r="F24">
        <v>4.0000000000000002E-4</v>
      </c>
      <c r="G24">
        <v>4.0000000000000002E-4</v>
      </c>
      <c r="H24">
        <v>4.0000000000000002E-4</v>
      </c>
      <c r="I24">
        <v>4.0000000000000002E-4</v>
      </c>
      <c r="J24">
        <v>0.43789377299999999</v>
      </c>
      <c r="K24">
        <v>4.0000000000000002E-4</v>
      </c>
      <c r="L24">
        <v>4.7618999999999998E-4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2657-7C00-A349-B1E7-EC5C3FC7A3BE}">
  <dimension ref="A1:C49"/>
  <sheetViews>
    <sheetView tabSelected="1" workbookViewId="0">
      <selection activeCell="I14" sqref="I14"/>
    </sheetView>
  </sheetViews>
  <sheetFormatPr baseColWidth="10" defaultRowHeight="15" x14ac:dyDescent="0.2"/>
  <cols>
    <col min="1" max="1" width="22.1640625" customWidth="1"/>
  </cols>
  <sheetData>
    <row r="1" spans="1:3" x14ac:dyDescent="0.2">
      <c r="A1" t="s">
        <v>1123</v>
      </c>
      <c r="B1" t="s">
        <v>1124</v>
      </c>
      <c r="C1" t="s">
        <v>1125</v>
      </c>
    </row>
    <row r="2" spans="1:3" x14ac:dyDescent="0.2">
      <c r="A2" t="s">
        <v>1126</v>
      </c>
      <c r="B2">
        <v>1.36181909</v>
      </c>
      <c r="C2">
        <v>0.125537231</v>
      </c>
    </row>
    <row r="3" spans="1:3" x14ac:dyDescent="0.2">
      <c r="A3" t="s">
        <v>1126</v>
      </c>
      <c r="B3">
        <v>1.48175912</v>
      </c>
      <c r="C3">
        <v>0.137531234</v>
      </c>
    </row>
    <row r="4" spans="1:3" x14ac:dyDescent="0.2">
      <c r="A4" t="s">
        <v>1133</v>
      </c>
      <c r="B4">
        <v>1.7066466769999999</v>
      </c>
      <c r="C4">
        <v>0.18550724599999999</v>
      </c>
    </row>
    <row r="5" spans="1:3" x14ac:dyDescent="0.2">
      <c r="A5" t="s">
        <v>1133</v>
      </c>
      <c r="B5">
        <v>1.76161919</v>
      </c>
      <c r="C5">
        <v>0.18550724599999999</v>
      </c>
    </row>
    <row r="6" spans="1:3" x14ac:dyDescent="0.2">
      <c r="A6" t="s">
        <v>1139</v>
      </c>
      <c r="B6">
        <v>1.6666666670000001</v>
      </c>
      <c r="C6">
        <v>0.15452273899999999</v>
      </c>
    </row>
    <row r="7" spans="1:3" x14ac:dyDescent="0.2">
      <c r="A7" t="s">
        <v>1139</v>
      </c>
      <c r="B7">
        <v>1.8415792099999999</v>
      </c>
      <c r="C7">
        <v>0.17551224400000001</v>
      </c>
    </row>
    <row r="8" spans="1:3" x14ac:dyDescent="0.2">
      <c r="A8" t="s">
        <v>1127</v>
      </c>
      <c r="B8">
        <v>0.79710144900000002</v>
      </c>
      <c r="C8">
        <v>0.41039480299999997</v>
      </c>
    </row>
    <row r="9" spans="1:3" x14ac:dyDescent="0.2">
      <c r="A9" t="s">
        <v>1127</v>
      </c>
      <c r="B9">
        <v>0.86706646700000001</v>
      </c>
      <c r="C9">
        <v>0.41339330299999999</v>
      </c>
    </row>
    <row r="10" spans="1:3" x14ac:dyDescent="0.2">
      <c r="A10" t="s">
        <v>1134</v>
      </c>
      <c r="B10">
        <v>0.75212393799999999</v>
      </c>
      <c r="C10">
        <v>0.58630684700000002</v>
      </c>
    </row>
    <row r="11" spans="1:3" x14ac:dyDescent="0.2">
      <c r="A11" t="s">
        <v>1134</v>
      </c>
      <c r="B11">
        <v>0.15742128899999999</v>
      </c>
      <c r="C11">
        <v>0.60329835099999995</v>
      </c>
    </row>
    <row r="12" spans="1:3" x14ac:dyDescent="0.2">
      <c r="A12" t="s">
        <v>1140</v>
      </c>
      <c r="B12">
        <v>0.81709145400000005</v>
      </c>
      <c r="C12">
        <v>0.37841079500000002</v>
      </c>
    </row>
    <row r="13" spans="1:3" x14ac:dyDescent="0.2">
      <c r="A13" t="s">
        <v>1140</v>
      </c>
      <c r="B13">
        <v>0.82208895599999998</v>
      </c>
      <c r="C13">
        <v>0.51434282899999995</v>
      </c>
    </row>
    <row r="14" spans="1:3" x14ac:dyDescent="0.2">
      <c r="A14" t="s">
        <v>166</v>
      </c>
      <c r="B14">
        <v>0.892053973</v>
      </c>
      <c r="C14">
        <v>4.1579209999999998E-2</v>
      </c>
    </row>
    <row r="15" spans="1:3" x14ac:dyDescent="0.2">
      <c r="A15" t="s">
        <v>166</v>
      </c>
      <c r="B15">
        <v>0.94202898599999996</v>
      </c>
      <c r="C15">
        <v>4.3578210999999999E-2</v>
      </c>
    </row>
    <row r="16" spans="1:3" x14ac:dyDescent="0.2">
      <c r="A16" t="s">
        <v>233</v>
      </c>
      <c r="B16">
        <v>0.69715142399999996</v>
      </c>
      <c r="C16">
        <v>5.3573213000000001E-2</v>
      </c>
    </row>
    <row r="17" spans="1:3" x14ac:dyDescent="0.2">
      <c r="A17" t="s">
        <v>233</v>
      </c>
      <c r="B17">
        <v>0.75212393799999999</v>
      </c>
      <c r="C17">
        <v>2.5587206000000001E-2</v>
      </c>
    </row>
    <row r="18" spans="1:3" x14ac:dyDescent="0.2">
      <c r="A18" t="s">
        <v>163</v>
      </c>
      <c r="B18">
        <v>0.84707646199999997</v>
      </c>
      <c r="C18">
        <v>-2.0389805E-2</v>
      </c>
    </row>
    <row r="19" spans="1:3" x14ac:dyDescent="0.2">
      <c r="A19" t="s">
        <v>163</v>
      </c>
      <c r="B19">
        <v>0.61719140400000005</v>
      </c>
      <c r="C19">
        <v>4.1579209999999998E-2</v>
      </c>
    </row>
    <row r="20" spans="1:3" x14ac:dyDescent="0.2">
      <c r="A20" t="s">
        <v>1128</v>
      </c>
      <c r="B20">
        <v>0.66216891600000005</v>
      </c>
      <c r="C20">
        <v>0.147526237</v>
      </c>
    </row>
    <row r="21" spans="1:3" x14ac:dyDescent="0.2">
      <c r="A21" t="s">
        <v>1128</v>
      </c>
      <c r="B21">
        <v>0.71214392800000004</v>
      </c>
      <c r="C21">
        <v>0.15352323800000001</v>
      </c>
    </row>
    <row r="22" spans="1:3" x14ac:dyDescent="0.2">
      <c r="A22" t="s">
        <v>1135</v>
      </c>
      <c r="B22">
        <v>0.75712143899999995</v>
      </c>
      <c r="C22">
        <v>0.16351824100000001</v>
      </c>
    </row>
    <row r="23" spans="1:3" x14ac:dyDescent="0.2">
      <c r="A23" t="s">
        <v>1135</v>
      </c>
      <c r="B23">
        <v>0.77711144399999998</v>
      </c>
      <c r="C23">
        <v>0.143528236</v>
      </c>
    </row>
    <row r="24" spans="1:3" x14ac:dyDescent="0.2">
      <c r="A24" t="s">
        <v>1141</v>
      </c>
      <c r="B24">
        <v>0.79710144900000002</v>
      </c>
      <c r="C24">
        <v>0.124537731</v>
      </c>
    </row>
    <row r="25" spans="1:3" x14ac:dyDescent="0.2">
      <c r="A25" t="s">
        <v>1141</v>
      </c>
      <c r="B25">
        <v>0.87206396799999997</v>
      </c>
      <c r="C25">
        <v>0.15652173899999999</v>
      </c>
    </row>
    <row r="26" spans="1:3" x14ac:dyDescent="0.2">
      <c r="A26" t="s">
        <v>1129</v>
      </c>
      <c r="B26">
        <v>1.36181909</v>
      </c>
      <c r="C26">
        <v>1.5138430780000001</v>
      </c>
    </row>
    <row r="27" spans="1:3" x14ac:dyDescent="0.2">
      <c r="A27" t="s">
        <v>1129</v>
      </c>
      <c r="B27">
        <v>1.3268365820000001</v>
      </c>
      <c r="C27">
        <v>1.5708145929999999</v>
      </c>
    </row>
    <row r="28" spans="1:3" x14ac:dyDescent="0.2">
      <c r="A28" t="s">
        <v>225</v>
      </c>
      <c r="B28">
        <v>1.736631684</v>
      </c>
      <c r="C28">
        <v>1.574812594</v>
      </c>
    </row>
    <row r="29" spans="1:3" x14ac:dyDescent="0.2">
      <c r="A29" t="s">
        <v>225</v>
      </c>
      <c r="B29">
        <v>2.011494253</v>
      </c>
      <c r="C29">
        <v>1.628785607</v>
      </c>
    </row>
    <row r="30" spans="1:3" x14ac:dyDescent="0.2">
      <c r="A30" t="s">
        <v>154</v>
      </c>
      <c r="B30">
        <v>2.011494253</v>
      </c>
      <c r="C30">
        <v>1.537831084</v>
      </c>
    </row>
    <row r="31" spans="1:3" x14ac:dyDescent="0.2">
      <c r="A31" t="s">
        <v>154</v>
      </c>
      <c r="B31">
        <v>2.1414292850000001</v>
      </c>
      <c r="C31">
        <v>1.6797601200000001</v>
      </c>
    </row>
    <row r="32" spans="1:3" x14ac:dyDescent="0.2">
      <c r="A32" t="s">
        <v>1130</v>
      </c>
      <c r="B32">
        <v>1.6566716640000001</v>
      </c>
      <c r="C32">
        <v>2.103548226</v>
      </c>
    </row>
    <row r="33" spans="1:3" x14ac:dyDescent="0.2">
      <c r="A33" t="s">
        <v>1130</v>
      </c>
      <c r="B33">
        <v>1.7916041979999999</v>
      </c>
      <c r="C33">
        <v>2.125537231</v>
      </c>
    </row>
    <row r="34" spans="1:3" x14ac:dyDescent="0.2">
      <c r="A34" t="s">
        <v>1136</v>
      </c>
      <c r="B34">
        <v>1.8465767120000001</v>
      </c>
      <c r="C34">
        <v>2.1085457270000001</v>
      </c>
    </row>
    <row r="35" spans="1:3" x14ac:dyDescent="0.2">
      <c r="A35" t="s">
        <v>1136</v>
      </c>
      <c r="B35">
        <v>1.856571714</v>
      </c>
      <c r="C35">
        <v>2.1115442280000001</v>
      </c>
    </row>
    <row r="36" spans="1:3" x14ac:dyDescent="0.2">
      <c r="A36" t="s">
        <v>1142</v>
      </c>
      <c r="B36">
        <v>1.806596702</v>
      </c>
      <c r="C36">
        <v>2.0465767119999998</v>
      </c>
    </row>
    <row r="37" spans="1:3" x14ac:dyDescent="0.2">
      <c r="A37" t="s">
        <v>1142</v>
      </c>
      <c r="B37">
        <v>1.916541729</v>
      </c>
      <c r="C37">
        <v>2.1295352319999998</v>
      </c>
    </row>
    <row r="38" spans="1:3" x14ac:dyDescent="0.2">
      <c r="A38" t="s">
        <v>1131</v>
      </c>
      <c r="B38">
        <v>1.651674163</v>
      </c>
      <c r="C38">
        <v>2.1165417290000001</v>
      </c>
    </row>
    <row r="39" spans="1:3" x14ac:dyDescent="0.2">
      <c r="A39" t="s">
        <v>1131</v>
      </c>
      <c r="B39">
        <v>1.76161919</v>
      </c>
      <c r="C39">
        <v>2.1075462269999998</v>
      </c>
    </row>
    <row r="40" spans="1:3" x14ac:dyDescent="0.2">
      <c r="A40" t="s">
        <v>1137</v>
      </c>
      <c r="B40">
        <v>1.7516241880000001</v>
      </c>
      <c r="C40">
        <v>2.098550725</v>
      </c>
    </row>
    <row r="41" spans="1:3" x14ac:dyDescent="0.2">
      <c r="A41" t="s">
        <v>1137</v>
      </c>
      <c r="B41">
        <v>1.821589205</v>
      </c>
      <c r="C41">
        <v>1.9996001999999999</v>
      </c>
    </row>
    <row r="42" spans="1:3" x14ac:dyDescent="0.2">
      <c r="A42" t="s">
        <v>1143</v>
      </c>
      <c r="B42">
        <v>1.856571714</v>
      </c>
      <c r="C42">
        <v>1.883658171</v>
      </c>
    </row>
    <row r="43" spans="1:3" x14ac:dyDescent="0.2">
      <c r="A43" t="s">
        <v>1143</v>
      </c>
      <c r="B43">
        <v>1.9965017490000001</v>
      </c>
      <c r="C43">
        <v>1.915642179</v>
      </c>
    </row>
    <row r="44" spans="1:3" x14ac:dyDescent="0.2">
      <c r="A44" t="s">
        <v>1132</v>
      </c>
      <c r="B44">
        <v>1.6666666670000001</v>
      </c>
      <c r="C44">
        <v>2.259470265</v>
      </c>
    </row>
    <row r="45" spans="1:3" x14ac:dyDescent="0.2">
      <c r="A45" t="s">
        <v>1132</v>
      </c>
      <c r="B45">
        <v>1.7666166919999999</v>
      </c>
      <c r="C45">
        <v>2.2354822589999999</v>
      </c>
    </row>
    <row r="46" spans="1:3" x14ac:dyDescent="0.2">
      <c r="A46" t="s">
        <v>1138</v>
      </c>
      <c r="B46">
        <v>1.8015992000000001</v>
      </c>
      <c r="C46">
        <v>2.2464767619999999</v>
      </c>
    </row>
    <row r="47" spans="1:3" x14ac:dyDescent="0.2">
      <c r="A47" t="s">
        <v>1138</v>
      </c>
      <c r="B47">
        <v>1.8715642180000001</v>
      </c>
      <c r="C47">
        <v>2.2224887560000002</v>
      </c>
    </row>
    <row r="48" spans="1:3" x14ac:dyDescent="0.2">
      <c r="A48" t="s">
        <v>1144</v>
      </c>
      <c r="B48">
        <v>2.0614692649999999</v>
      </c>
      <c r="C48">
        <v>2.1765117439999999</v>
      </c>
    </row>
    <row r="49" spans="1:3" x14ac:dyDescent="0.2">
      <c r="A49" t="s">
        <v>1144</v>
      </c>
      <c r="B49">
        <v>2.1714142930000002</v>
      </c>
      <c r="C49">
        <v>2.2134932530000002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80"/>
  <sheetViews>
    <sheetView workbookViewId="0">
      <selection activeCell="H33" sqref="H33"/>
    </sheetView>
  </sheetViews>
  <sheetFormatPr baseColWidth="10" defaultRowHeight="15" x14ac:dyDescent="0.2"/>
  <cols>
    <col min="1" max="1" width="26" customWidth="1"/>
  </cols>
  <sheetData>
    <row r="1" spans="1:14" x14ac:dyDescent="0.2">
      <c r="A1" t="s">
        <v>624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625</v>
      </c>
      <c r="B2" s="1">
        <v>14300000</v>
      </c>
      <c r="C2" s="1">
        <v>0</v>
      </c>
      <c r="D2" s="1">
        <v>0</v>
      </c>
      <c r="E2" s="1">
        <v>1940000000</v>
      </c>
      <c r="F2" s="1">
        <v>3650000000</v>
      </c>
      <c r="G2" s="1">
        <v>7110000000</v>
      </c>
      <c r="H2" s="1">
        <v>1960000000</v>
      </c>
      <c r="I2" s="1">
        <v>446000000</v>
      </c>
      <c r="J2" s="1">
        <v>65000000</v>
      </c>
      <c r="K2" s="1">
        <v>13100000000</v>
      </c>
      <c r="L2" s="1">
        <v>0</v>
      </c>
      <c r="M2" s="1">
        <v>2020000000</v>
      </c>
      <c r="N2" s="1">
        <v>30300000000</v>
      </c>
    </row>
    <row r="3" spans="1:14" x14ac:dyDescent="0.2">
      <c r="A3" t="s">
        <v>626</v>
      </c>
      <c r="B3" s="1">
        <v>109000000</v>
      </c>
      <c r="C3" s="1">
        <v>0</v>
      </c>
      <c r="D3" s="1">
        <v>0</v>
      </c>
      <c r="E3" s="1">
        <v>1400000000</v>
      </c>
      <c r="F3" s="1">
        <v>3920000000</v>
      </c>
      <c r="G3" s="1">
        <v>2930000000</v>
      </c>
      <c r="H3" s="1">
        <v>1770000000</v>
      </c>
      <c r="I3" s="1">
        <v>381000000</v>
      </c>
      <c r="J3" s="1">
        <v>336000000</v>
      </c>
      <c r="K3" s="1">
        <v>11600000000</v>
      </c>
      <c r="L3" s="1">
        <v>0</v>
      </c>
      <c r="M3" s="1">
        <v>26700000000</v>
      </c>
      <c r="N3" s="1">
        <v>49200000000</v>
      </c>
    </row>
    <row r="4" spans="1:14" x14ac:dyDescent="0.2">
      <c r="A4" t="s">
        <v>627</v>
      </c>
      <c r="B4" s="1">
        <v>0</v>
      </c>
      <c r="C4" s="1">
        <v>0</v>
      </c>
      <c r="D4" s="1">
        <v>0</v>
      </c>
      <c r="E4" s="1">
        <v>6460000000</v>
      </c>
      <c r="F4" s="1">
        <v>4860000000</v>
      </c>
      <c r="G4" s="1">
        <v>14400000000</v>
      </c>
      <c r="H4" s="1">
        <v>3200000000</v>
      </c>
      <c r="I4" s="1">
        <v>1180000000</v>
      </c>
      <c r="J4" s="1">
        <v>84000000</v>
      </c>
      <c r="K4" s="1">
        <v>39000000000</v>
      </c>
      <c r="L4" s="1">
        <v>0</v>
      </c>
      <c r="M4" s="1">
        <v>3080000000</v>
      </c>
      <c r="N4" s="1">
        <v>72300000000</v>
      </c>
    </row>
    <row r="5" spans="1:14" x14ac:dyDescent="0.2">
      <c r="A5" t="s">
        <v>628</v>
      </c>
      <c r="B5" s="1">
        <v>0</v>
      </c>
      <c r="C5" s="1">
        <v>0</v>
      </c>
      <c r="D5" s="1">
        <v>0</v>
      </c>
      <c r="E5" s="1">
        <v>18600000000</v>
      </c>
      <c r="F5" s="1">
        <v>9170000000</v>
      </c>
      <c r="G5" s="1">
        <v>20300000000</v>
      </c>
      <c r="H5" s="1">
        <v>4840000000</v>
      </c>
      <c r="I5" s="1">
        <v>1390000000</v>
      </c>
      <c r="J5" s="1">
        <v>694000000</v>
      </c>
      <c r="K5" s="1">
        <v>58000000000</v>
      </c>
      <c r="L5" s="1">
        <v>0</v>
      </c>
      <c r="M5" s="1">
        <v>22900000000</v>
      </c>
      <c r="N5" s="1">
        <v>136000000000</v>
      </c>
    </row>
    <row r="6" spans="1:14" x14ac:dyDescent="0.2">
      <c r="A6" t="s">
        <v>629</v>
      </c>
      <c r="B6" s="1">
        <v>0</v>
      </c>
      <c r="C6" s="1">
        <v>0</v>
      </c>
      <c r="D6" s="1">
        <v>0</v>
      </c>
      <c r="E6" s="1">
        <v>4040000000</v>
      </c>
      <c r="F6" s="1">
        <v>2230000000</v>
      </c>
      <c r="G6" s="1">
        <v>10200000000</v>
      </c>
      <c r="H6" s="1">
        <v>2100000000</v>
      </c>
      <c r="I6" s="1">
        <v>748000000</v>
      </c>
      <c r="J6" s="1">
        <v>115000000</v>
      </c>
      <c r="K6" s="1">
        <v>26400000000</v>
      </c>
      <c r="L6" s="1">
        <v>0</v>
      </c>
      <c r="M6" s="1">
        <v>3260000000</v>
      </c>
      <c r="N6" s="1">
        <v>49100000000</v>
      </c>
    </row>
    <row r="7" spans="1:14" x14ac:dyDescent="0.2">
      <c r="A7" t="s">
        <v>630</v>
      </c>
      <c r="B7" s="1">
        <v>0</v>
      </c>
      <c r="C7" s="1">
        <v>0</v>
      </c>
      <c r="D7" s="1">
        <v>0</v>
      </c>
      <c r="E7" s="1">
        <v>5910000000</v>
      </c>
      <c r="F7" s="1">
        <v>3820000000</v>
      </c>
      <c r="G7" s="1">
        <v>11800000000</v>
      </c>
      <c r="H7" s="1">
        <v>3520000000</v>
      </c>
      <c r="I7" s="1">
        <v>594000000</v>
      </c>
      <c r="J7" s="1">
        <v>395000000</v>
      </c>
      <c r="K7" s="1">
        <v>32000000000</v>
      </c>
      <c r="L7" s="1">
        <v>81500000</v>
      </c>
      <c r="M7" s="1">
        <v>11500000000</v>
      </c>
      <c r="N7" s="1">
        <v>69700000000</v>
      </c>
    </row>
    <row r="8" spans="1:14" x14ac:dyDescent="0.2">
      <c r="A8" t="s">
        <v>631</v>
      </c>
      <c r="B8" s="1">
        <v>0</v>
      </c>
      <c r="C8" s="1">
        <v>0</v>
      </c>
      <c r="D8" s="1">
        <v>0</v>
      </c>
      <c r="E8" s="1">
        <v>3700000000</v>
      </c>
      <c r="F8" s="1">
        <v>4250000000</v>
      </c>
      <c r="G8" s="1">
        <v>10100000000</v>
      </c>
      <c r="H8" s="1">
        <v>2820000000</v>
      </c>
      <c r="I8" s="1">
        <v>679000000</v>
      </c>
      <c r="J8" s="1">
        <v>346000000</v>
      </c>
      <c r="K8" s="1">
        <v>29200000000</v>
      </c>
      <c r="L8" s="1">
        <v>0</v>
      </c>
      <c r="M8" s="1">
        <v>8000000000</v>
      </c>
      <c r="N8" s="1">
        <v>59100000000</v>
      </c>
    </row>
    <row r="9" spans="1:14" x14ac:dyDescent="0.2">
      <c r="A9" t="s">
        <v>632</v>
      </c>
      <c r="B9" s="1">
        <v>15400000</v>
      </c>
      <c r="C9" s="1">
        <v>0</v>
      </c>
      <c r="D9" s="1">
        <v>0</v>
      </c>
      <c r="E9" s="1">
        <v>1800000000</v>
      </c>
      <c r="F9" s="1">
        <v>1120000000</v>
      </c>
      <c r="G9" s="1">
        <v>3090000000</v>
      </c>
      <c r="H9" s="1">
        <v>1580000000</v>
      </c>
      <c r="I9" s="1">
        <v>250000000</v>
      </c>
      <c r="J9" s="1">
        <v>95800000</v>
      </c>
      <c r="K9" s="1">
        <v>0</v>
      </c>
      <c r="L9" s="1">
        <v>47100000</v>
      </c>
      <c r="M9" s="1">
        <v>1760000000</v>
      </c>
      <c r="N9" s="1">
        <v>9750000000</v>
      </c>
    </row>
    <row r="10" spans="1:14" x14ac:dyDescent="0.2">
      <c r="A10" t="s">
        <v>633</v>
      </c>
      <c r="B10" s="1">
        <v>9870000</v>
      </c>
      <c r="C10" s="1">
        <v>0</v>
      </c>
      <c r="D10" s="1">
        <v>0</v>
      </c>
      <c r="E10" s="1">
        <v>2070000000</v>
      </c>
      <c r="F10" s="1">
        <v>1140000000</v>
      </c>
      <c r="G10" s="1">
        <v>3420000000</v>
      </c>
      <c r="H10" s="1">
        <v>1830000000</v>
      </c>
      <c r="I10" s="1">
        <v>241000000</v>
      </c>
      <c r="J10" s="1">
        <v>74300000</v>
      </c>
      <c r="K10" s="1">
        <v>0</v>
      </c>
      <c r="L10" s="1">
        <v>12700000</v>
      </c>
      <c r="M10" s="1">
        <v>2800000000</v>
      </c>
      <c r="N10" s="1">
        <v>11600000000</v>
      </c>
    </row>
    <row r="11" spans="1:14" x14ac:dyDescent="0.2">
      <c r="A11" t="s">
        <v>634</v>
      </c>
      <c r="B11" s="1">
        <v>4490000</v>
      </c>
      <c r="C11" s="1">
        <v>0</v>
      </c>
      <c r="D11" s="1">
        <v>0</v>
      </c>
      <c r="E11" s="1">
        <v>677000000</v>
      </c>
      <c r="F11" s="1">
        <v>386000000</v>
      </c>
      <c r="G11" s="1">
        <v>1280000000</v>
      </c>
      <c r="H11" s="1">
        <v>506000000</v>
      </c>
      <c r="I11" s="1">
        <v>99200000</v>
      </c>
      <c r="J11" s="1">
        <v>45100000</v>
      </c>
      <c r="K11" s="1">
        <v>0</v>
      </c>
      <c r="L11" s="1">
        <v>6960000</v>
      </c>
      <c r="M11" s="1">
        <v>1150000000</v>
      </c>
      <c r="N11" s="1">
        <v>4150000000</v>
      </c>
    </row>
    <row r="12" spans="1:14" x14ac:dyDescent="0.2">
      <c r="A12" t="s">
        <v>635</v>
      </c>
      <c r="B12" s="1">
        <v>0</v>
      </c>
      <c r="C12" s="1">
        <v>0</v>
      </c>
      <c r="D12" s="1">
        <v>0</v>
      </c>
      <c r="E12" s="1">
        <v>170000000</v>
      </c>
      <c r="F12" s="1">
        <v>104000000</v>
      </c>
      <c r="G12" s="1">
        <v>312000000</v>
      </c>
      <c r="H12" s="1">
        <v>148000000</v>
      </c>
      <c r="I12" s="1">
        <v>19800000</v>
      </c>
      <c r="J12" s="1">
        <v>5110000</v>
      </c>
      <c r="K12" s="1">
        <v>0</v>
      </c>
      <c r="L12" s="1">
        <v>4480000</v>
      </c>
      <c r="M12" s="1">
        <v>200000000</v>
      </c>
      <c r="N12" s="1">
        <v>963000000</v>
      </c>
    </row>
    <row r="13" spans="1:14" x14ac:dyDescent="0.2">
      <c r="A13" t="s">
        <v>636</v>
      </c>
      <c r="B13" s="1">
        <v>58700000</v>
      </c>
      <c r="C13" s="1">
        <v>0</v>
      </c>
      <c r="D13" s="1">
        <v>0</v>
      </c>
      <c r="E13" s="1">
        <v>9120000000</v>
      </c>
      <c r="F13" s="1">
        <v>10600000000</v>
      </c>
      <c r="G13" s="1">
        <v>21800000000</v>
      </c>
      <c r="H13" s="1">
        <v>5680000000</v>
      </c>
      <c r="I13" s="1">
        <v>1100000000</v>
      </c>
      <c r="J13" s="1">
        <v>79500000</v>
      </c>
      <c r="K13" s="1">
        <v>48600000000</v>
      </c>
      <c r="L13" s="1">
        <v>0</v>
      </c>
      <c r="M13" s="1">
        <v>4400000000</v>
      </c>
      <c r="N13" s="1">
        <v>101000000000</v>
      </c>
    </row>
    <row r="14" spans="1:14" x14ac:dyDescent="0.2">
      <c r="A14" t="s">
        <v>637</v>
      </c>
      <c r="B14" s="1">
        <v>210000000</v>
      </c>
      <c r="C14" s="1">
        <v>5010000</v>
      </c>
      <c r="D14" s="1">
        <v>0</v>
      </c>
      <c r="E14" s="1">
        <v>2770000000</v>
      </c>
      <c r="F14" s="1">
        <v>3940000000</v>
      </c>
      <c r="G14" s="1">
        <v>1200000000</v>
      </c>
      <c r="H14" s="1">
        <v>2720000000</v>
      </c>
      <c r="I14" s="1">
        <v>268000000</v>
      </c>
      <c r="J14" s="1">
        <v>538000000</v>
      </c>
      <c r="K14" s="1">
        <v>25400000000</v>
      </c>
      <c r="L14" s="1">
        <v>19800000</v>
      </c>
      <c r="M14" s="1">
        <v>18400000000</v>
      </c>
      <c r="N14" s="1">
        <v>55400000000</v>
      </c>
    </row>
    <row r="15" spans="1:14" x14ac:dyDescent="0.2">
      <c r="A15" t="s">
        <v>638</v>
      </c>
      <c r="B15" s="1">
        <v>10900000</v>
      </c>
      <c r="C15" s="1">
        <v>15000000</v>
      </c>
      <c r="D15" s="1">
        <v>0</v>
      </c>
      <c r="E15" s="1">
        <v>5490000000</v>
      </c>
      <c r="F15" s="1">
        <v>4690000000</v>
      </c>
      <c r="G15" s="1">
        <v>11200000000</v>
      </c>
      <c r="H15" s="1">
        <v>3340000000</v>
      </c>
      <c r="I15" s="1">
        <v>1070000000</v>
      </c>
      <c r="J15" s="1">
        <v>366000000</v>
      </c>
      <c r="K15" s="1">
        <v>43300000000</v>
      </c>
      <c r="L15" s="1">
        <v>47000000</v>
      </c>
      <c r="M15" s="1">
        <v>11700000000</v>
      </c>
      <c r="N15" s="1">
        <v>81200000000</v>
      </c>
    </row>
    <row r="16" spans="1:14" x14ac:dyDescent="0.2">
      <c r="A16" t="s">
        <v>639</v>
      </c>
      <c r="B16" s="1">
        <v>0</v>
      </c>
      <c r="C16" s="1">
        <v>0</v>
      </c>
      <c r="D16" s="1">
        <v>0</v>
      </c>
      <c r="E16" s="1">
        <v>5390000000</v>
      </c>
      <c r="F16" s="1">
        <v>4030000000</v>
      </c>
      <c r="G16" s="1">
        <v>4430000000</v>
      </c>
      <c r="H16" s="1">
        <v>4770000000</v>
      </c>
      <c r="I16" s="1">
        <v>358000000</v>
      </c>
      <c r="J16" s="1">
        <v>354000000</v>
      </c>
      <c r="K16" s="1">
        <v>28200000000</v>
      </c>
      <c r="L16" s="1">
        <v>363000000</v>
      </c>
      <c r="M16" s="1">
        <v>13000000000</v>
      </c>
      <c r="N16" s="1">
        <v>61000000000</v>
      </c>
    </row>
    <row r="17" spans="1:14" x14ac:dyDescent="0.2">
      <c r="A17" t="s">
        <v>640</v>
      </c>
      <c r="B17" s="1">
        <v>0</v>
      </c>
      <c r="C17" s="1">
        <v>0</v>
      </c>
      <c r="D17" s="1">
        <v>0</v>
      </c>
      <c r="E17" s="1">
        <v>1360000</v>
      </c>
      <c r="F17" s="1">
        <v>5630000</v>
      </c>
      <c r="G17" s="1">
        <v>19000000</v>
      </c>
      <c r="H17" s="1">
        <v>2190000</v>
      </c>
      <c r="I17" s="1">
        <v>0</v>
      </c>
      <c r="J17" s="1">
        <v>1420000</v>
      </c>
      <c r="K17" s="1">
        <v>9640000</v>
      </c>
      <c r="L17" s="1">
        <v>539000000</v>
      </c>
      <c r="M17" s="1">
        <v>53100000</v>
      </c>
      <c r="N17" s="1">
        <v>631000000</v>
      </c>
    </row>
    <row r="18" spans="1:14" x14ac:dyDescent="0.2">
      <c r="A18" t="s">
        <v>641</v>
      </c>
      <c r="B18" s="1">
        <v>0</v>
      </c>
      <c r="C18" s="1">
        <v>0</v>
      </c>
      <c r="D18" s="1">
        <v>0</v>
      </c>
      <c r="E18" s="1">
        <v>8940000000</v>
      </c>
      <c r="F18" s="1">
        <v>10900000000</v>
      </c>
      <c r="G18" s="1">
        <v>21000000000</v>
      </c>
      <c r="H18" s="1">
        <v>8520000000</v>
      </c>
      <c r="I18" s="1">
        <v>614000000</v>
      </c>
      <c r="J18" s="1">
        <v>1110000000</v>
      </c>
      <c r="K18" s="1">
        <v>25100000000</v>
      </c>
      <c r="L18" s="1">
        <v>0</v>
      </c>
      <c r="M18" s="1">
        <v>30900000000</v>
      </c>
      <c r="N18" s="1">
        <v>107000000000</v>
      </c>
    </row>
    <row r="19" spans="1:14" x14ac:dyDescent="0.2">
      <c r="A19" t="s">
        <v>642</v>
      </c>
      <c r="B19" s="1">
        <v>70000000</v>
      </c>
      <c r="C19" s="1">
        <v>0</v>
      </c>
      <c r="D19" s="1">
        <v>0</v>
      </c>
      <c r="E19" s="1">
        <v>3450000000</v>
      </c>
      <c r="F19" s="1">
        <v>1840000000</v>
      </c>
      <c r="G19" s="1">
        <v>3540000000</v>
      </c>
      <c r="H19" s="1">
        <v>3590000000</v>
      </c>
      <c r="I19" s="1">
        <v>565000000</v>
      </c>
      <c r="J19" s="1">
        <v>219000000</v>
      </c>
      <c r="K19" s="1">
        <v>0</v>
      </c>
      <c r="L19" s="1">
        <v>130000000</v>
      </c>
      <c r="M19" s="1">
        <v>6120000000</v>
      </c>
      <c r="N19" s="1">
        <v>19500000000</v>
      </c>
    </row>
    <row r="20" spans="1:14" x14ac:dyDescent="0.2">
      <c r="A20" t="s">
        <v>643</v>
      </c>
      <c r="B20" s="1">
        <v>71900000</v>
      </c>
      <c r="C20" s="1">
        <v>0</v>
      </c>
      <c r="D20" s="1">
        <v>0</v>
      </c>
      <c r="E20" s="1">
        <v>3080000000</v>
      </c>
      <c r="F20" s="1">
        <v>902000000</v>
      </c>
      <c r="G20" s="1">
        <v>2350000000</v>
      </c>
      <c r="H20" s="1">
        <v>1600000000</v>
      </c>
      <c r="I20" s="1">
        <v>271000000</v>
      </c>
      <c r="J20" s="1">
        <v>112000000</v>
      </c>
      <c r="K20" s="1">
        <v>0</v>
      </c>
      <c r="L20" s="1">
        <v>22500000</v>
      </c>
      <c r="M20" s="1">
        <v>4310000000</v>
      </c>
      <c r="N20" s="1">
        <v>12700000000</v>
      </c>
    </row>
    <row r="21" spans="1:14" x14ac:dyDescent="0.2">
      <c r="A21" t="s">
        <v>644</v>
      </c>
      <c r="B21" s="1">
        <v>14400000</v>
      </c>
      <c r="C21" s="1">
        <v>0</v>
      </c>
      <c r="D21" s="1">
        <v>0</v>
      </c>
      <c r="E21" s="1">
        <v>1230000000</v>
      </c>
      <c r="F21" s="1">
        <v>383000000</v>
      </c>
      <c r="G21" s="1">
        <v>929000000</v>
      </c>
      <c r="H21" s="1">
        <v>687000000</v>
      </c>
      <c r="I21" s="1">
        <v>74100000</v>
      </c>
      <c r="J21" s="1">
        <v>5370000</v>
      </c>
      <c r="K21" s="1">
        <v>0</v>
      </c>
      <c r="L21" s="1">
        <v>0</v>
      </c>
      <c r="M21" s="1">
        <v>561000000</v>
      </c>
      <c r="N21" s="1">
        <v>3880000000</v>
      </c>
    </row>
    <row r="22" spans="1:14" x14ac:dyDescent="0.2">
      <c r="A22" t="s">
        <v>645</v>
      </c>
      <c r="B22" s="1">
        <v>196000000</v>
      </c>
      <c r="C22" s="1">
        <v>8820000</v>
      </c>
      <c r="D22" s="1">
        <v>0</v>
      </c>
      <c r="E22" s="1">
        <v>6450000000</v>
      </c>
      <c r="F22" s="1">
        <v>2340000000</v>
      </c>
      <c r="G22" s="1">
        <v>9000000000</v>
      </c>
      <c r="H22" s="1">
        <v>3780000000</v>
      </c>
      <c r="I22" s="1">
        <v>471000000</v>
      </c>
      <c r="J22" s="1">
        <v>231000000</v>
      </c>
      <c r="K22" s="1">
        <v>0</v>
      </c>
      <c r="L22" s="1">
        <v>35700000</v>
      </c>
      <c r="M22" s="1">
        <v>11600000000</v>
      </c>
      <c r="N22" s="1">
        <v>34100000000</v>
      </c>
    </row>
    <row r="23" spans="1:14" x14ac:dyDescent="0.2">
      <c r="A23" t="s">
        <v>646</v>
      </c>
      <c r="B23" s="1">
        <v>312000000</v>
      </c>
      <c r="C23" s="1">
        <v>48200000</v>
      </c>
      <c r="D23" s="1">
        <v>0</v>
      </c>
      <c r="E23" s="1">
        <v>10200000000</v>
      </c>
      <c r="F23" s="1">
        <v>11800000000</v>
      </c>
      <c r="G23" s="1">
        <v>12000000000</v>
      </c>
      <c r="H23" s="1">
        <v>10500000000</v>
      </c>
      <c r="I23" s="1">
        <v>1460000000</v>
      </c>
      <c r="J23" s="1">
        <v>1420000000</v>
      </c>
      <c r="K23" s="1">
        <v>44100000000</v>
      </c>
      <c r="L23" s="1">
        <v>130000000</v>
      </c>
      <c r="M23" s="1">
        <v>33100000000</v>
      </c>
      <c r="N23" s="1">
        <v>125000000000</v>
      </c>
    </row>
    <row r="24" spans="1:14" x14ac:dyDescent="0.2">
      <c r="A24" t="s">
        <v>647</v>
      </c>
      <c r="B24" s="1">
        <v>289000000</v>
      </c>
      <c r="C24" s="1">
        <v>0</v>
      </c>
      <c r="D24" s="1">
        <v>0</v>
      </c>
      <c r="E24" s="1">
        <v>8860000000</v>
      </c>
      <c r="F24" s="1">
        <v>10500000000</v>
      </c>
      <c r="G24" s="1">
        <v>3000000000</v>
      </c>
      <c r="H24" s="1">
        <v>7260000000</v>
      </c>
      <c r="I24" s="1">
        <v>833000000</v>
      </c>
      <c r="J24" s="1">
        <v>212000000</v>
      </c>
      <c r="K24" s="1">
        <v>69200000000</v>
      </c>
      <c r="L24" s="1">
        <v>0</v>
      </c>
      <c r="M24" s="1">
        <v>6350000000</v>
      </c>
      <c r="N24" s="1">
        <v>106000000000</v>
      </c>
    </row>
    <row r="25" spans="1:14" x14ac:dyDescent="0.2">
      <c r="A25" t="s">
        <v>648</v>
      </c>
      <c r="B25" s="1">
        <v>6920000</v>
      </c>
      <c r="C25" s="1">
        <v>0</v>
      </c>
      <c r="D25" s="1">
        <v>0</v>
      </c>
      <c r="E25" s="1">
        <v>11200000000</v>
      </c>
      <c r="F25" s="1">
        <v>8000000000</v>
      </c>
      <c r="G25" s="1">
        <v>12000000000</v>
      </c>
      <c r="H25" s="1">
        <v>9040000000</v>
      </c>
      <c r="I25" s="1">
        <v>1620000000</v>
      </c>
      <c r="J25" s="1">
        <v>53900000</v>
      </c>
      <c r="K25" s="1">
        <v>92700000000</v>
      </c>
      <c r="L25" s="1">
        <v>0</v>
      </c>
      <c r="M25" s="1">
        <v>4020000000</v>
      </c>
      <c r="N25" s="1">
        <v>139000000000</v>
      </c>
    </row>
    <row r="26" spans="1:14" x14ac:dyDescent="0.2">
      <c r="A26" t="s">
        <v>649</v>
      </c>
      <c r="B26" s="1">
        <v>0</v>
      </c>
      <c r="C26" s="1">
        <v>0</v>
      </c>
      <c r="D26" s="1">
        <v>0</v>
      </c>
      <c r="E26" s="1">
        <v>997000</v>
      </c>
      <c r="F26" s="1">
        <v>5830000</v>
      </c>
      <c r="G26" s="1">
        <v>15900000</v>
      </c>
      <c r="H26" s="1">
        <v>2620000</v>
      </c>
      <c r="I26" s="1">
        <v>0</v>
      </c>
      <c r="J26" s="1">
        <v>0</v>
      </c>
      <c r="K26" s="1">
        <v>4890000</v>
      </c>
      <c r="L26" s="1">
        <v>0</v>
      </c>
      <c r="M26" s="1">
        <v>5740000</v>
      </c>
      <c r="N26" s="1">
        <v>35900000</v>
      </c>
    </row>
    <row r="27" spans="1:14" x14ac:dyDescent="0.2">
      <c r="A27" t="s">
        <v>650</v>
      </c>
      <c r="B27" s="1">
        <v>0</v>
      </c>
      <c r="C27" s="1">
        <v>0</v>
      </c>
      <c r="D27" s="1">
        <v>0</v>
      </c>
      <c r="E27" s="1">
        <v>9300000000</v>
      </c>
      <c r="F27" s="1">
        <v>3750000000</v>
      </c>
      <c r="G27" s="1">
        <v>8880000000</v>
      </c>
      <c r="H27" s="1">
        <v>8190000000</v>
      </c>
      <c r="I27" s="1">
        <v>1190000000</v>
      </c>
      <c r="J27" s="1">
        <v>88100000</v>
      </c>
      <c r="K27" s="1">
        <v>72500000000</v>
      </c>
      <c r="L27" s="1">
        <v>0</v>
      </c>
      <c r="M27" s="1">
        <v>5380000000</v>
      </c>
      <c r="N27" s="1">
        <v>109000000000</v>
      </c>
    </row>
    <row r="28" spans="1:14" x14ac:dyDescent="0.2">
      <c r="A28" t="s">
        <v>651</v>
      </c>
      <c r="B28" s="1">
        <v>0</v>
      </c>
      <c r="C28" s="1">
        <v>0</v>
      </c>
      <c r="D28" s="1">
        <v>0</v>
      </c>
      <c r="E28" s="1">
        <v>2960000000</v>
      </c>
      <c r="F28" s="1">
        <v>1550000000</v>
      </c>
      <c r="G28" s="1">
        <v>2390000000</v>
      </c>
      <c r="H28" s="1">
        <v>3330000000</v>
      </c>
      <c r="I28" s="1">
        <v>715000000</v>
      </c>
      <c r="J28" s="1">
        <v>46200000</v>
      </c>
      <c r="K28" s="1">
        <v>33400000000</v>
      </c>
      <c r="L28" s="1">
        <v>19000000</v>
      </c>
      <c r="M28" s="1">
        <v>1880000000</v>
      </c>
      <c r="N28" s="1">
        <v>46300000000</v>
      </c>
    </row>
    <row r="29" spans="1:14" x14ac:dyDescent="0.2">
      <c r="A29" t="s">
        <v>652</v>
      </c>
      <c r="B29" s="1">
        <v>0</v>
      </c>
      <c r="C29" s="1">
        <v>0</v>
      </c>
      <c r="D29" s="1">
        <v>0</v>
      </c>
      <c r="E29" s="1">
        <v>7010000000</v>
      </c>
      <c r="F29" s="1">
        <v>9130000000</v>
      </c>
      <c r="G29" s="1">
        <v>28700000000</v>
      </c>
      <c r="H29" s="1">
        <v>7800000000</v>
      </c>
      <c r="I29" s="1">
        <v>1610000000</v>
      </c>
      <c r="J29" s="1">
        <v>72100000</v>
      </c>
      <c r="K29" s="1">
        <v>61300000000</v>
      </c>
      <c r="L29" s="1">
        <v>0</v>
      </c>
      <c r="M29" s="1">
        <v>4970000000</v>
      </c>
      <c r="N29" s="1">
        <v>121000000000</v>
      </c>
    </row>
    <row r="30" spans="1:14" x14ac:dyDescent="0.2">
      <c r="A30" t="s">
        <v>653</v>
      </c>
      <c r="B30" s="1">
        <v>1810000000</v>
      </c>
      <c r="C30" s="1">
        <v>0</v>
      </c>
      <c r="D30" s="1">
        <v>0</v>
      </c>
      <c r="E30" s="1">
        <v>1360000000</v>
      </c>
      <c r="F30" s="1">
        <v>188000000</v>
      </c>
      <c r="G30" s="1">
        <v>3650000000</v>
      </c>
      <c r="H30" s="1">
        <v>15700000000</v>
      </c>
      <c r="I30" s="1">
        <v>1360000000</v>
      </c>
      <c r="J30" s="1">
        <v>22900000</v>
      </c>
      <c r="K30" s="1">
        <v>0</v>
      </c>
      <c r="L30" s="1">
        <v>174000000</v>
      </c>
      <c r="M30" s="1">
        <v>4020000000</v>
      </c>
      <c r="N30" s="1">
        <v>28300000000</v>
      </c>
    </row>
    <row r="31" spans="1:14" x14ac:dyDescent="0.2">
      <c r="A31" t="s">
        <v>654</v>
      </c>
      <c r="B31" s="1">
        <v>200000000</v>
      </c>
      <c r="C31" s="1">
        <v>0</v>
      </c>
      <c r="D31" s="1">
        <v>0</v>
      </c>
      <c r="E31" s="1">
        <v>13500000000</v>
      </c>
      <c r="F31" s="1">
        <v>5500000000</v>
      </c>
      <c r="G31" s="1">
        <v>15300000000</v>
      </c>
      <c r="H31" s="1">
        <v>13700000000</v>
      </c>
      <c r="I31" s="1">
        <v>1700000000</v>
      </c>
      <c r="J31" s="1">
        <v>864000000</v>
      </c>
      <c r="K31" s="1">
        <v>0</v>
      </c>
      <c r="L31" s="1">
        <v>452000000</v>
      </c>
      <c r="M31" s="1">
        <v>27900000000</v>
      </c>
      <c r="N31" s="1">
        <v>79000000000</v>
      </c>
    </row>
    <row r="32" spans="1:14" x14ac:dyDescent="0.2">
      <c r="A32" t="s">
        <v>655</v>
      </c>
      <c r="B32" s="1">
        <v>50900000</v>
      </c>
      <c r="C32" s="1">
        <v>0</v>
      </c>
      <c r="D32" s="1">
        <v>0</v>
      </c>
      <c r="E32" s="1">
        <v>9720000000</v>
      </c>
      <c r="F32" s="1">
        <v>3240000000</v>
      </c>
      <c r="G32" s="1">
        <v>10500000000</v>
      </c>
      <c r="H32" s="1">
        <v>8410000000</v>
      </c>
      <c r="I32" s="1">
        <v>919000000</v>
      </c>
      <c r="J32" s="1">
        <v>62000000</v>
      </c>
      <c r="K32" s="1">
        <v>0</v>
      </c>
      <c r="L32" s="1">
        <v>0</v>
      </c>
      <c r="M32" s="1">
        <v>5530000000</v>
      </c>
      <c r="N32" s="1">
        <v>38400000000</v>
      </c>
    </row>
    <row r="33" spans="1:14" x14ac:dyDescent="0.2">
      <c r="A33" t="s">
        <v>656</v>
      </c>
      <c r="B33" s="1">
        <v>16500000</v>
      </c>
      <c r="C33" s="1">
        <v>0</v>
      </c>
      <c r="D33" s="1">
        <v>0</v>
      </c>
      <c r="E33" s="1">
        <v>2510000000</v>
      </c>
      <c r="F33" s="1">
        <v>701000000</v>
      </c>
      <c r="G33" s="1">
        <v>1570000000</v>
      </c>
      <c r="H33" s="1">
        <v>1190000000</v>
      </c>
      <c r="I33" s="1">
        <v>124000000</v>
      </c>
      <c r="J33" s="1">
        <v>6650000</v>
      </c>
      <c r="K33" s="1">
        <v>0</v>
      </c>
      <c r="L33" s="1">
        <v>0</v>
      </c>
      <c r="M33" s="1">
        <v>596000000</v>
      </c>
      <c r="N33" s="1">
        <v>6720000000</v>
      </c>
    </row>
    <row r="34" spans="1:14" x14ac:dyDescent="0.2">
      <c r="A34" t="s">
        <v>657</v>
      </c>
      <c r="B34" s="1">
        <v>18900000</v>
      </c>
      <c r="C34" s="1">
        <v>0</v>
      </c>
      <c r="D34" s="1">
        <v>0</v>
      </c>
      <c r="E34" s="1">
        <v>11500000000</v>
      </c>
      <c r="F34" s="1">
        <v>3050000000</v>
      </c>
      <c r="G34" s="1">
        <v>7670000000</v>
      </c>
      <c r="H34" s="1">
        <v>8250000000</v>
      </c>
      <c r="I34" s="1">
        <v>863000000</v>
      </c>
      <c r="J34" s="1">
        <v>31500000</v>
      </c>
      <c r="K34" s="1">
        <v>0</v>
      </c>
      <c r="L34" s="1">
        <v>0</v>
      </c>
      <c r="M34" s="1">
        <v>2730000000</v>
      </c>
      <c r="N34" s="1">
        <v>34100000000</v>
      </c>
    </row>
    <row r="35" spans="1:14" x14ac:dyDescent="0.2">
      <c r="A35" t="s">
        <v>658</v>
      </c>
      <c r="B35" s="1">
        <v>16500000</v>
      </c>
      <c r="C35" s="1">
        <v>0</v>
      </c>
      <c r="D35" s="1">
        <v>0</v>
      </c>
      <c r="E35" s="1">
        <v>107000000</v>
      </c>
      <c r="F35" s="1">
        <v>53800000</v>
      </c>
      <c r="G35" s="1">
        <v>16500000</v>
      </c>
      <c r="H35" s="1">
        <v>192000000</v>
      </c>
      <c r="I35" s="1">
        <v>23700000</v>
      </c>
      <c r="J35" s="1">
        <v>43900000</v>
      </c>
      <c r="K35" s="1">
        <v>170000000</v>
      </c>
      <c r="L35" s="1">
        <v>113000000</v>
      </c>
      <c r="M35" s="1">
        <v>824000000</v>
      </c>
      <c r="N35" s="1">
        <v>1560000000</v>
      </c>
    </row>
    <row r="36" spans="1:14" x14ac:dyDescent="0.2">
      <c r="A36" t="s">
        <v>659</v>
      </c>
      <c r="B36" s="1">
        <v>5620000</v>
      </c>
      <c r="C36" s="1">
        <v>0</v>
      </c>
      <c r="D36" s="1">
        <v>0</v>
      </c>
      <c r="E36" s="1">
        <v>33200000</v>
      </c>
      <c r="F36" s="1">
        <v>54400000</v>
      </c>
      <c r="G36" s="1">
        <v>14300000</v>
      </c>
      <c r="H36" s="1">
        <v>33400000</v>
      </c>
      <c r="I36" s="1">
        <v>6310000</v>
      </c>
      <c r="J36" s="1">
        <v>11200000</v>
      </c>
      <c r="K36" s="1">
        <v>227000000</v>
      </c>
      <c r="L36" s="1">
        <v>0</v>
      </c>
      <c r="M36" s="1">
        <v>257000000</v>
      </c>
      <c r="N36" s="1">
        <v>643000000</v>
      </c>
    </row>
    <row r="37" spans="1:14" x14ac:dyDescent="0.2">
      <c r="A37" t="s">
        <v>660</v>
      </c>
      <c r="B37" s="1">
        <v>1260000</v>
      </c>
      <c r="C37" s="1">
        <v>0</v>
      </c>
      <c r="D37" s="1">
        <v>0</v>
      </c>
      <c r="E37" s="1">
        <v>1180000</v>
      </c>
      <c r="F37" s="1">
        <v>842000</v>
      </c>
      <c r="G37" s="1">
        <v>2600000</v>
      </c>
      <c r="H37" s="1">
        <v>1400000</v>
      </c>
      <c r="I37" s="1">
        <v>0</v>
      </c>
      <c r="J37" s="1">
        <v>377000</v>
      </c>
      <c r="K37" s="1">
        <v>820000</v>
      </c>
      <c r="L37" s="1">
        <v>56400000</v>
      </c>
      <c r="M37" s="1">
        <v>13800000</v>
      </c>
      <c r="N37" s="1">
        <v>78800000</v>
      </c>
    </row>
    <row r="38" spans="1:14" x14ac:dyDescent="0.2">
      <c r="A38" t="s">
        <v>661</v>
      </c>
      <c r="B38" s="1">
        <v>0</v>
      </c>
      <c r="C38" s="1">
        <v>0</v>
      </c>
      <c r="D38" s="1">
        <v>0</v>
      </c>
      <c r="E38" s="1">
        <v>921000</v>
      </c>
      <c r="F38" s="1">
        <v>6320000</v>
      </c>
      <c r="G38" s="1">
        <v>6470000</v>
      </c>
      <c r="H38" s="1">
        <v>0</v>
      </c>
      <c r="I38" s="1">
        <v>0</v>
      </c>
      <c r="J38" s="1">
        <v>884000</v>
      </c>
      <c r="K38" s="1">
        <v>5940000</v>
      </c>
      <c r="L38" s="1">
        <v>0</v>
      </c>
      <c r="M38" s="1">
        <v>22300000</v>
      </c>
      <c r="N38" s="1">
        <v>42800000</v>
      </c>
    </row>
    <row r="39" spans="1:14" x14ac:dyDescent="0.2">
      <c r="A39" t="s">
        <v>662</v>
      </c>
      <c r="B39" s="1">
        <v>0</v>
      </c>
      <c r="C39" s="1">
        <v>0</v>
      </c>
      <c r="D39" s="1">
        <v>0</v>
      </c>
      <c r="E39" s="1">
        <v>4180000</v>
      </c>
      <c r="F39" s="1">
        <v>992000</v>
      </c>
      <c r="G39" s="1">
        <v>7050000</v>
      </c>
      <c r="H39" s="1">
        <v>6190000</v>
      </c>
      <c r="I39" s="1">
        <v>1300000</v>
      </c>
      <c r="J39" s="1">
        <v>1180000</v>
      </c>
      <c r="K39" s="1">
        <v>2660000</v>
      </c>
      <c r="L39" s="1">
        <v>1570000</v>
      </c>
      <c r="M39" s="1">
        <v>18100000</v>
      </c>
      <c r="N39" s="1">
        <v>43200000</v>
      </c>
    </row>
    <row r="40" spans="1:14" x14ac:dyDescent="0.2">
      <c r="A40" t="s">
        <v>663</v>
      </c>
      <c r="B40" s="1">
        <v>0</v>
      </c>
      <c r="C40" s="1">
        <v>0</v>
      </c>
      <c r="D40" s="1">
        <v>0</v>
      </c>
      <c r="E40" s="1">
        <v>434000</v>
      </c>
      <c r="F40" s="1">
        <v>1140000</v>
      </c>
      <c r="G40" s="1">
        <v>1580000</v>
      </c>
      <c r="H40" s="1">
        <v>355000</v>
      </c>
      <c r="I40" s="1">
        <v>0</v>
      </c>
      <c r="J40" s="1">
        <v>266000</v>
      </c>
      <c r="K40" s="1">
        <v>665000</v>
      </c>
      <c r="L40" s="1">
        <v>143000000</v>
      </c>
      <c r="M40" s="1">
        <v>6190000</v>
      </c>
      <c r="N40" s="1">
        <v>153000000</v>
      </c>
    </row>
    <row r="41" spans="1:14" x14ac:dyDescent="0.2">
      <c r="A41" t="s">
        <v>664</v>
      </c>
      <c r="B41" s="1">
        <v>0</v>
      </c>
      <c r="C41" s="1">
        <v>0</v>
      </c>
      <c r="D41" s="1">
        <v>0</v>
      </c>
      <c r="E41" s="1">
        <v>1310000</v>
      </c>
      <c r="F41" s="1">
        <v>2880000</v>
      </c>
      <c r="G41" s="1">
        <v>4910000</v>
      </c>
      <c r="H41" s="1">
        <v>966000</v>
      </c>
      <c r="I41" s="1">
        <v>0</v>
      </c>
      <c r="J41" s="1">
        <v>395000</v>
      </c>
      <c r="K41" s="1">
        <v>861000</v>
      </c>
      <c r="L41" s="1">
        <v>0</v>
      </c>
      <c r="M41" s="1">
        <v>12900000</v>
      </c>
      <c r="N41" s="1">
        <v>24300000</v>
      </c>
    </row>
    <row r="42" spans="1:14" x14ac:dyDescent="0.2">
      <c r="A42" t="s">
        <v>665</v>
      </c>
      <c r="B42" s="1">
        <v>4450000000</v>
      </c>
      <c r="C42" s="1">
        <v>0</v>
      </c>
      <c r="D42" s="1">
        <v>0</v>
      </c>
      <c r="E42" s="1">
        <v>6590000</v>
      </c>
      <c r="F42" s="1">
        <v>6920000</v>
      </c>
      <c r="G42" s="1">
        <v>7490000</v>
      </c>
      <c r="H42" s="1">
        <v>23500000</v>
      </c>
      <c r="I42" s="1">
        <v>6370000</v>
      </c>
      <c r="J42" s="1">
        <v>2020000</v>
      </c>
      <c r="K42" s="1">
        <v>0</v>
      </c>
      <c r="L42" s="1">
        <v>0</v>
      </c>
      <c r="M42" s="1">
        <v>247000000</v>
      </c>
      <c r="N42" s="1">
        <v>4750000000</v>
      </c>
    </row>
    <row r="43" spans="1:14" x14ac:dyDescent="0.2">
      <c r="A43" t="s">
        <v>666</v>
      </c>
      <c r="B43" s="1">
        <v>308000000</v>
      </c>
      <c r="C43" s="1">
        <v>0</v>
      </c>
      <c r="D43" s="1">
        <v>0</v>
      </c>
      <c r="E43" s="1">
        <v>230000000</v>
      </c>
      <c r="F43" s="1">
        <v>39700000</v>
      </c>
      <c r="G43" s="1">
        <v>64900000</v>
      </c>
      <c r="H43" s="1">
        <v>617000000</v>
      </c>
      <c r="I43" s="1">
        <v>115000000</v>
      </c>
      <c r="J43" s="1">
        <v>26500000</v>
      </c>
      <c r="K43" s="1">
        <v>0</v>
      </c>
      <c r="L43" s="1">
        <v>0</v>
      </c>
      <c r="M43" s="1">
        <v>599000000</v>
      </c>
      <c r="N43" s="1">
        <v>2000000000</v>
      </c>
    </row>
    <row r="44" spans="1:14" x14ac:dyDescent="0.2">
      <c r="A44" t="s">
        <v>667</v>
      </c>
      <c r="B44" s="1">
        <v>0</v>
      </c>
      <c r="C44" s="1">
        <v>0</v>
      </c>
      <c r="D44" s="1">
        <v>0</v>
      </c>
      <c r="E44" s="1">
        <v>2950000</v>
      </c>
      <c r="F44" s="1">
        <v>6510000</v>
      </c>
      <c r="G44" s="1">
        <v>5690000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9920000</v>
      </c>
      <c r="N44" s="1">
        <v>25100000</v>
      </c>
    </row>
    <row r="45" spans="1:14" x14ac:dyDescent="0.2">
      <c r="A45" t="s">
        <v>668</v>
      </c>
      <c r="B45" s="1">
        <v>33700000</v>
      </c>
      <c r="C45" s="1">
        <v>0</v>
      </c>
      <c r="D45" s="1">
        <v>0</v>
      </c>
      <c r="E45" s="1">
        <v>6050000</v>
      </c>
      <c r="F45" s="1">
        <v>11100000</v>
      </c>
      <c r="G45" s="1">
        <v>17000000</v>
      </c>
      <c r="H45" s="1">
        <v>14200000</v>
      </c>
      <c r="I45" s="1">
        <v>7790000</v>
      </c>
      <c r="J45" s="1">
        <v>6770000</v>
      </c>
      <c r="K45" s="1">
        <v>0</v>
      </c>
      <c r="L45" s="1">
        <v>0</v>
      </c>
      <c r="M45" s="1">
        <v>60000000</v>
      </c>
      <c r="N45" s="1">
        <v>157000000</v>
      </c>
    </row>
    <row r="46" spans="1:14" x14ac:dyDescent="0.2">
      <c r="A46" t="s">
        <v>669</v>
      </c>
      <c r="B46" s="1">
        <v>12200000</v>
      </c>
      <c r="C46" s="1">
        <v>0</v>
      </c>
      <c r="D46" s="1">
        <v>0</v>
      </c>
      <c r="E46" s="1">
        <v>9260000</v>
      </c>
      <c r="F46" s="1">
        <v>1820000</v>
      </c>
      <c r="G46" s="1">
        <v>5990000</v>
      </c>
      <c r="H46" s="1">
        <v>47500000</v>
      </c>
      <c r="I46" s="1">
        <v>10000000</v>
      </c>
      <c r="J46" s="1">
        <v>1040000</v>
      </c>
      <c r="K46" s="1">
        <v>0</v>
      </c>
      <c r="L46" s="1">
        <v>0</v>
      </c>
      <c r="M46" s="1">
        <v>44000000</v>
      </c>
      <c r="N46" s="1">
        <v>132000000</v>
      </c>
    </row>
    <row r="47" spans="1:14" x14ac:dyDescent="0.2">
      <c r="A47" t="s">
        <v>670</v>
      </c>
      <c r="B47" s="1">
        <v>13800000</v>
      </c>
      <c r="C47" s="1">
        <v>0</v>
      </c>
      <c r="D47" s="1">
        <v>0</v>
      </c>
      <c r="E47" s="1">
        <v>73000000</v>
      </c>
      <c r="F47" s="1">
        <v>39600000</v>
      </c>
      <c r="G47" s="1">
        <v>32700000</v>
      </c>
      <c r="H47" s="1">
        <v>114000000</v>
      </c>
      <c r="I47" s="1">
        <v>25700000</v>
      </c>
      <c r="J47" s="1">
        <v>2280000</v>
      </c>
      <c r="K47" s="1">
        <v>131000000</v>
      </c>
      <c r="L47" s="1">
        <v>54200000</v>
      </c>
      <c r="M47" s="1">
        <v>87100000</v>
      </c>
      <c r="N47" s="1">
        <v>574000000</v>
      </c>
    </row>
    <row r="48" spans="1:14" x14ac:dyDescent="0.2">
      <c r="A48" t="s">
        <v>671</v>
      </c>
      <c r="B48" s="1">
        <v>1870000</v>
      </c>
      <c r="C48" s="1">
        <v>0</v>
      </c>
      <c r="D48" s="1">
        <v>0</v>
      </c>
      <c r="E48" s="1">
        <v>22600000</v>
      </c>
      <c r="F48" s="1">
        <v>31000000</v>
      </c>
      <c r="G48" s="1">
        <v>7490000</v>
      </c>
      <c r="H48" s="1">
        <v>24300000</v>
      </c>
      <c r="I48" s="1">
        <v>4190000</v>
      </c>
      <c r="J48" s="1">
        <v>913000</v>
      </c>
      <c r="K48" s="1">
        <v>135000000</v>
      </c>
      <c r="L48" s="1">
        <v>0</v>
      </c>
      <c r="M48" s="1">
        <v>34900000</v>
      </c>
      <c r="N48" s="1">
        <v>262000000</v>
      </c>
    </row>
    <row r="49" spans="1:14" x14ac:dyDescent="0.2">
      <c r="A49" t="s">
        <v>672</v>
      </c>
      <c r="B49" s="1">
        <v>559000</v>
      </c>
      <c r="C49" s="1">
        <v>0</v>
      </c>
      <c r="D49" s="1">
        <v>0</v>
      </c>
      <c r="E49" s="1">
        <v>115000</v>
      </c>
      <c r="F49" s="1">
        <v>413000</v>
      </c>
      <c r="G49" s="1">
        <v>199000</v>
      </c>
      <c r="H49" s="1">
        <v>116000</v>
      </c>
      <c r="I49" s="1">
        <v>0</v>
      </c>
      <c r="J49" s="1">
        <v>0</v>
      </c>
      <c r="K49" s="1">
        <v>291000</v>
      </c>
      <c r="L49" s="1">
        <v>88700000</v>
      </c>
      <c r="M49" s="1">
        <v>2410000</v>
      </c>
      <c r="N49" s="1">
        <v>92800000</v>
      </c>
    </row>
    <row r="50" spans="1:14" x14ac:dyDescent="0.2">
      <c r="A50" t="s">
        <v>673</v>
      </c>
      <c r="B50" s="1">
        <v>0</v>
      </c>
      <c r="C50" s="1">
        <v>0</v>
      </c>
      <c r="D50" s="1">
        <v>0</v>
      </c>
      <c r="E50" s="1">
        <v>78500000</v>
      </c>
      <c r="F50" s="1">
        <v>33100000</v>
      </c>
      <c r="G50" s="1">
        <v>89900000</v>
      </c>
      <c r="H50" s="1">
        <v>63000000</v>
      </c>
      <c r="I50" s="1">
        <v>27100000</v>
      </c>
      <c r="J50" s="1">
        <v>1470000</v>
      </c>
      <c r="K50" s="1">
        <v>16900000</v>
      </c>
      <c r="L50" s="1">
        <v>0</v>
      </c>
      <c r="M50" s="1">
        <v>70100000</v>
      </c>
      <c r="N50" s="1">
        <v>380000000</v>
      </c>
    </row>
    <row r="51" spans="1:14" x14ac:dyDescent="0.2">
      <c r="A51" t="s">
        <v>674</v>
      </c>
      <c r="B51" s="1">
        <v>0</v>
      </c>
      <c r="C51" s="1">
        <v>0</v>
      </c>
      <c r="D51" s="1">
        <v>0</v>
      </c>
      <c r="E51" s="1">
        <v>16000000</v>
      </c>
      <c r="F51" s="1">
        <v>5190000</v>
      </c>
      <c r="G51" s="1">
        <v>30300000</v>
      </c>
      <c r="H51" s="1">
        <v>17900000</v>
      </c>
      <c r="I51" s="1">
        <v>5530000</v>
      </c>
      <c r="J51" s="1">
        <v>482000</v>
      </c>
      <c r="K51" s="1">
        <v>25400000</v>
      </c>
      <c r="L51" s="1">
        <v>0</v>
      </c>
      <c r="M51" s="1">
        <v>18400000</v>
      </c>
      <c r="N51" s="1">
        <v>119000000</v>
      </c>
    </row>
    <row r="52" spans="1:14" x14ac:dyDescent="0.2">
      <c r="A52" t="s">
        <v>675</v>
      </c>
      <c r="B52" s="1">
        <v>0</v>
      </c>
      <c r="C52" s="1">
        <v>0</v>
      </c>
      <c r="D52" s="1">
        <v>0</v>
      </c>
      <c r="E52" s="1">
        <v>538000</v>
      </c>
      <c r="F52" s="1">
        <v>1410000</v>
      </c>
      <c r="G52" s="1">
        <v>2730000</v>
      </c>
      <c r="H52" s="1">
        <v>874000</v>
      </c>
      <c r="I52" s="1">
        <v>0</v>
      </c>
      <c r="J52" s="1">
        <v>0</v>
      </c>
      <c r="K52" s="1">
        <v>1180000</v>
      </c>
      <c r="L52" s="1">
        <v>153000000</v>
      </c>
      <c r="M52" s="1">
        <v>1840000</v>
      </c>
      <c r="N52" s="1">
        <v>162000000</v>
      </c>
    </row>
    <row r="53" spans="1:14" x14ac:dyDescent="0.2">
      <c r="A53" t="s">
        <v>676</v>
      </c>
      <c r="B53" s="1">
        <v>0</v>
      </c>
      <c r="C53" s="1">
        <v>0</v>
      </c>
      <c r="D53" s="1">
        <v>0</v>
      </c>
      <c r="E53" s="1">
        <v>826000</v>
      </c>
      <c r="F53" s="1">
        <v>3830000</v>
      </c>
      <c r="G53" s="1">
        <v>11200000</v>
      </c>
      <c r="H53" s="1">
        <v>1010000</v>
      </c>
      <c r="I53" s="1">
        <v>0</v>
      </c>
      <c r="J53" s="1">
        <v>148000</v>
      </c>
      <c r="K53" s="1">
        <v>2790000</v>
      </c>
      <c r="L53" s="1">
        <v>0</v>
      </c>
      <c r="M53" s="1">
        <v>5340000</v>
      </c>
      <c r="N53" s="1">
        <v>25200000</v>
      </c>
    </row>
    <row r="54" spans="1:14" x14ac:dyDescent="0.2">
      <c r="A54" t="s">
        <v>677</v>
      </c>
      <c r="B54" s="1">
        <v>159000000</v>
      </c>
      <c r="C54" s="1">
        <v>0</v>
      </c>
      <c r="D54" s="1">
        <v>0</v>
      </c>
      <c r="E54" s="1">
        <v>5600000</v>
      </c>
      <c r="F54" s="1">
        <v>6080000</v>
      </c>
      <c r="G54" s="1">
        <v>14700000</v>
      </c>
      <c r="H54" s="1">
        <v>10800000</v>
      </c>
      <c r="I54" s="1">
        <v>0</v>
      </c>
      <c r="J54" s="1">
        <v>3940000</v>
      </c>
      <c r="K54" s="1">
        <v>0</v>
      </c>
      <c r="L54" s="1">
        <v>0</v>
      </c>
      <c r="M54" s="1">
        <v>271000000</v>
      </c>
      <c r="N54" s="1">
        <v>472000000</v>
      </c>
    </row>
    <row r="55" spans="1:14" x14ac:dyDescent="0.2">
      <c r="A55" t="s">
        <v>678</v>
      </c>
      <c r="B55" s="1">
        <v>3950000</v>
      </c>
      <c r="C55" s="1">
        <v>0</v>
      </c>
      <c r="D55" s="1">
        <v>0</v>
      </c>
      <c r="E55" s="1">
        <v>13100000</v>
      </c>
      <c r="F55" s="1">
        <v>9700000</v>
      </c>
      <c r="G55" s="1">
        <v>19800000</v>
      </c>
      <c r="H55" s="1">
        <v>174000000</v>
      </c>
      <c r="I55" s="1">
        <v>29200000</v>
      </c>
      <c r="J55" s="1">
        <v>0</v>
      </c>
      <c r="K55" s="1">
        <v>0</v>
      </c>
      <c r="L55" s="1">
        <v>0</v>
      </c>
      <c r="M55" s="1">
        <v>9490000</v>
      </c>
      <c r="N55" s="1">
        <v>259000000</v>
      </c>
    </row>
    <row r="56" spans="1:14" x14ac:dyDescent="0.2">
      <c r="A56" t="s">
        <v>679</v>
      </c>
      <c r="B56" s="1">
        <v>5140000</v>
      </c>
      <c r="C56" s="1">
        <v>0</v>
      </c>
      <c r="D56" s="1">
        <v>0</v>
      </c>
      <c r="E56" s="1">
        <v>12900000</v>
      </c>
      <c r="F56" s="1">
        <v>507000</v>
      </c>
      <c r="G56" s="1">
        <v>7540000</v>
      </c>
      <c r="H56" s="1">
        <v>2690000</v>
      </c>
      <c r="I56" s="1">
        <v>1380000</v>
      </c>
      <c r="J56" s="1">
        <v>0</v>
      </c>
      <c r="K56" s="1">
        <v>0</v>
      </c>
      <c r="L56" s="1">
        <v>0</v>
      </c>
      <c r="M56" s="1">
        <v>2660000</v>
      </c>
      <c r="N56" s="1">
        <v>32800000</v>
      </c>
    </row>
    <row r="57" spans="1:14" x14ac:dyDescent="0.2">
      <c r="A57" t="s">
        <v>680</v>
      </c>
      <c r="B57" s="1">
        <v>11800000</v>
      </c>
      <c r="C57" s="1">
        <v>0</v>
      </c>
      <c r="D57" s="1">
        <v>0</v>
      </c>
      <c r="E57" s="1">
        <v>5770000</v>
      </c>
      <c r="F57" s="1">
        <v>3700000</v>
      </c>
      <c r="G57" s="1">
        <v>11100000</v>
      </c>
      <c r="H57" s="1">
        <v>39200000</v>
      </c>
      <c r="I57" s="1">
        <v>10800000</v>
      </c>
      <c r="J57" s="1">
        <v>4560000</v>
      </c>
      <c r="K57" s="1">
        <v>0</v>
      </c>
      <c r="L57" s="1">
        <v>0</v>
      </c>
      <c r="M57" s="1">
        <v>48100000</v>
      </c>
      <c r="N57" s="1">
        <v>135000000</v>
      </c>
    </row>
    <row r="58" spans="1:14" x14ac:dyDescent="0.2">
      <c r="A58" t="s">
        <v>681</v>
      </c>
      <c r="B58" s="1">
        <v>18600000</v>
      </c>
      <c r="C58" s="1">
        <v>0</v>
      </c>
      <c r="D58" s="1">
        <v>0</v>
      </c>
      <c r="E58" s="1">
        <v>5620000</v>
      </c>
      <c r="F58" s="1">
        <v>289000</v>
      </c>
      <c r="G58" s="1">
        <v>3090000</v>
      </c>
      <c r="H58" s="1">
        <v>42300000</v>
      </c>
      <c r="I58" s="1">
        <v>8440000</v>
      </c>
      <c r="J58" s="1">
        <v>673000</v>
      </c>
      <c r="K58" s="1">
        <v>0</v>
      </c>
      <c r="L58" s="1">
        <v>0</v>
      </c>
      <c r="M58" s="1">
        <v>27900000</v>
      </c>
      <c r="N58" s="1">
        <v>107000000</v>
      </c>
    </row>
    <row r="59" spans="1:14" x14ac:dyDescent="0.2">
      <c r="A59" t="s">
        <v>682</v>
      </c>
      <c r="B59" s="1">
        <v>1870000</v>
      </c>
      <c r="C59" s="1">
        <v>0</v>
      </c>
      <c r="D59" s="1">
        <v>0</v>
      </c>
      <c r="E59" s="1">
        <v>604000000</v>
      </c>
      <c r="F59" s="1">
        <v>495000000</v>
      </c>
      <c r="G59" s="1">
        <v>1590000000</v>
      </c>
      <c r="H59" s="1">
        <v>495000000</v>
      </c>
      <c r="I59" s="1">
        <v>244000000</v>
      </c>
      <c r="J59" s="1">
        <v>6810000</v>
      </c>
      <c r="K59" s="1">
        <v>6520000000</v>
      </c>
      <c r="L59" s="1">
        <v>0</v>
      </c>
      <c r="M59" s="1">
        <v>472000000</v>
      </c>
      <c r="N59" s="1">
        <v>10400000000</v>
      </c>
    </row>
    <row r="60" spans="1:14" x14ac:dyDescent="0.2">
      <c r="A60" t="s">
        <v>683</v>
      </c>
      <c r="B60" s="1">
        <v>3680000</v>
      </c>
      <c r="C60" s="1">
        <v>0</v>
      </c>
      <c r="D60" s="1">
        <v>0</v>
      </c>
      <c r="E60" s="1">
        <v>832000000</v>
      </c>
      <c r="F60" s="1">
        <v>529000000</v>
      </c>
      <c r="G60" s="1">
        <v>1000000000</v>
      </c>
      <c r="H60" s="1">
        <v>540000000</v>
      </c>
      <c r="I60" s="1">
        <v>136000000</v>
      </c>
      <c r="J60" s="1">
        <v>18500000</v>
      </c>
      <c r="K60" s="1">
        <v>6690000000</v>
      </c>
      <c r="L60" s="1">
        <v>0</v>
      </c>
      <c r="M60" s="1">
        <v>423000000</v>
      </c>
      <c r="N60" s="1">
        <v>10200000000</v>
      </c>
    </row>
    <row r="61" spans="1:14" x14ac:dyDescent="0.2">
      <c r="A61" t="s">
        <v>684</v>
      </c>
      <c r="B61" s="1">
        <v>4370000</v>
      </c>
      <c r="C61" s="1">
        <v>0</v>
      </c>
      <c r="D61" s="1">
        <v>0</v>
      </c>
      <c r="E61" s="1">
        <v>1900000000</v>
      </c>
      <c r="F61" s="1">
        <v>2910000000</v>
      </c>
      <c r="G61" s="1">
        <v>5070000000</v>
      </c>
      <c r="H61" s="1">
        <v>1460000000</v>
      </c>
      <c r="I61" s="1">
        <v>541000000</v>
      </c>
      <c r="J61" s="1">
        <v>40700000</v>
      </c>
      <c r="K61" s="1">
        <v>11800000000</v>
      </c>
      <c r="L61" s="1">
        <v>0</v>
      </c>
      <c r="M61" s="1">
        <v>1870000000</v>
      </c>
      <c r="N61" s="1">
        <v>25600000000</v>
      </c>
    </row>
    <row r="62" spans="1:14" x14ac:dyDescent="0.2">
      <c r="A62" t="s">
        <v>685</v>
      </c>
      <c r="B62" s="1">
        <v>12000000</v>
      </c>
      <c r="C62" s="1">
        <v>0</v>
      </c>
      <c r="D62" s="1">
        <v>0</v>
      </c>
      <c r="E62" s="1">
        <v>2390000000</v>
      </c>
      <c r="F62" s="1">
        <v>1150000000</v>
      </c>
      <c r="G62" s="1">
        <v>2670000000</v>
      </c>
      <c r="H62" s="1">
        <v>1780000000</v>
      </c>
      <c r="I62" s="1">
        <v>612000000</v>
      </c>
      <c r="J62" s="1">
        <v>45300000</v>
      </c>
      <c r="K62" s="1">
        <v>18400000000</v>
      </c>
      <c r="L62" s="1">
        <v>0</v>
      </c>
      <c r="M62" s="1">
        <v>1620000000</v>
      </c>
      <c r="N62" s="1">
        <v>28700000000</v>
      </c>
    </row>
    <row r="63" spans="1:14" x14ac:dyDescent="0.2">
      <c r="A63" t="s">
        <v>686</v>
      </c>
      <c r="B63" s="1">
        <v>10300000</v>
      </c>
      <c r="C63" s="1">
        <v>0</v>
      </c>
      <c r="D63" s="1">
        <v>0</v>
      </c>
      <c r="E63" s="1">
        <v>2060000000</v>
      </c>
      <c r="F63" s="1">
        <v>4070000000</v>
      </c>
      <c r="G63" s="1">
        <v>6100000000</v>
      </c>
      <c r="H63" s="1">
        <v>1590000000</v>
      </c>
      <c r="I63" s="1">
        <v>367000000</v>
      </c>
      <c r="J63" s="1">
        <v>317000000</v>
      </c>
      <c r="K63" s="1">
        <v>20700000000</v>
      </c>
      <c r="L63" s="1">
        <v>0</v>
      </c>
      <c r="M63" s="1">
        <v>12200000000</v>
      </c>
      <c r="N63" s="1">
        <v>47500000000</v>
      </c>
    </row>
    <row r="64" spans="1:14" x14ac:dyDescent="0.2">
      <c r="A64" t="s">
        <v>687</v>
      </c>
      <c r="B64" s="1">
        <v>0</v>
      </c>
      <c r="C64" s="1">
        <v>0</v>
      </c>
      <c r="D64" s="1">
        <v>0</v>
      </c>
      <c r="E64" s="1">
        <v>1390000000</v>
      </c>
      <c r="F64" s="1">
        <v>2820000000</v>
      </c>
      <c r="G64" s="1">
        <v>3720000000</v>
      </c>
      <c r="H64" s="1">
        <v>1370000000</v>
      </c>
      <c r="I64" s="1">
        <v>505000000</v>
      </c>
      <c r="J64" s="1">
        <v>184000000</v>
      </c>
      <c r="K64" s="1">
        <v>13800000000</v>
      </c>
      <c r="L64" s="1">
        <v>69400000</v>
      </c>
      <c r="M64" s="1">
        <v>5230000000</v>
      </c>
      <c r="N64" s="1">
        <v>29100000000</v>
      </c>
    </row>
    <row r="65" spans="1:14" x14ac:dyDescent="0.2">
      <c r="A65" t="s">
        <v>688</v>
      </c>
      <c r="B65" s="1">
        <v>0</v>
      </c>
      <c r="C65" s="1">
        <v>0</v>
      </c>
      <c r="D65" s="1">
        <v>0</v>
      </c>
      <c r="E65" s="1">
        <v>1830000000</v>
      </c>
      <c r="F65" s="1">
        <v>1160000000</v>
      </c>
      <c r="G65" s="1">
        <v>1840000000</v>
      </c>
      <c r="H65" s="1">
        <v>1160000000</v>
      </c>
      <c r="I65" s="1">
        <v>610000000</v>
      </c>
      <c r="J65" s="1">
        <v>64900000</v>
      </c>
      <c r="K65" s="1">
        <v>12800000000</v>
      </c>
      <c r="L65" s="1">
        <v>0</v>
      </c>
      <c r="M65" s="1">
        <v>2700000000</v>
      </c>
      <c r="N65" s="1">
        <v>22200000000</v>
      </c>
    </row>
    <row r="66" spans="1:14" x14ac:dyDescent="0.2">
      <c r="A66" t="s">
        <v>689</v>
      </c>
      <c r="B66" s="1">
        <v>0</v>
      </c>
      <c r="C66" s="1">
        <v>0</v>
      </c>
      <c r="D66" s="1">
        <v>0</v>
      </c>
      <c r="E66" s="1">
        <v>213000000</v>
      </c>
      <c r="F66" s="1">
        <v>145000000</v>
      </c>
      <c r="G66" s="1">
        <v>485000000</v>
      </c>
      <c r="H66" s="1">
        <v>186000000</v>
      </c>
      <c r="I66" s="1">
        <v>59400000</v>
      </c>
      <c r="J66" s="1">
        <v>11000000</v>
      </c>
      <c r="K66" s="1">
        <v>1480000000</v>
      </c>
      <c r="L66" s="1">
        <v>0</v>
      </c>
      <c r="M66" s="1">
        <v>523000000</v>
      </c>
      <c r="N66" s="1">
        <v>3100000000</v>
      </c>
    </row>
    <row r="67" spans="1:14" x14ac:dyDescent="0.2">
      <c r="A67" t="s">
        <v>690</v>
      </c>
      <c r="B67" s="1">
        <v>0</v>
      </c>
      <c r="C67" s="1">
        <v>0</v>
      </c>
      <c r="D67" s="1">
        <v>0</v>
      </c>
      <c r="E67" s="1">
        <v>1140000000</v>
      </c>
      <c r="F67" s="1">
        <v>1160000000</v>
      </c>
      <c r="G67" s="1">
        <v>1190000000</v>
      </c>
      <c r="H67" s="1">
        <v>675000000</v>
      </c>
      <c r="I67" s="1">
        <v>380000000</v>
      </c>
      <c r="J67" s="1">
        <v>57000000</v>
      </c>
      <c r="K67" s="1">
        <v>8700000000</v>
      </c>
      <c r="L67" s="1">
        <v>28900000</v>
      </c>
      <c r="M67" s="1">
        <v>3450000000</v>
      </c>
      <c r="N67" s="1">
        <v>16800000000</v>
      </c>
    </row>
    <row r="68" spans="1:14" x14ac:dyDescent="0.2">
      <c r="A68" t="s">
        <v>691</v>
      </c>
      <c r="B68" s="1">
        <v>0</v>
      </c>
      <c r="C68" s="1">
        <v>0</v>
      </c>
      <c r="D68" s="1">
        <v>0</v>
      </c>
      <c r="E68" s="1">
        <v>506000000</v>
      </c>
      <c r="F68" s="1">
        <v>341000000</v>
      </c>
      <c r="G68" s="1">
        <v>739000000</v>
      </c>
      <c r="H68" s="1">
        <v>253000000</v>
      </c>
      <c r="I68" s="1">
        <v>167000000</v>
      </c>
      <c r="J68" s="1">
        <v>51500000</v>
      </c>
      <c r="K68" s="1">
        <v>5450000000</v>
      </c>
      <c r="L68" s="1">
        <v>17200000</v>
      </c>
      <c r="M68" s="1">
        <v>1270000000</v>
      </c>
      <c r="N68" s="1">
        <v>8790000000</v>
      </c>
    </row>
    <row r="69" spans="1:14" x14ac:dyDescent="0.2">
      <c r="A69" t="s">
        <v>692</v>
      </c>
      <c r="B69" s="1">
        <v>15800000</v>
      </c>
      <c r="C69" s="1">
        <v>3470000</v>
      </c>
      <c r="D69" s="1">
        <v>0</v>
      </c>
      <c r="E69" s="1">
        <v>1680000000</v>
      </c>
      <c r="F69" s="1">
        <v>476000000</v>
      </c>
      <c r="G69" s="1">
        <v>1580000000</v>
      </c>
      <c r="H69" s="1">
        <v>695000000</v>
      </c>
      <c r="I69" s="1">
        <v>636000000</v>
      </c>
      <c r="J69" s="1">
        <v>125000000</v>
      </c>
      <c r="K69" s="1">
        <v>0</v>
      </c>
      <c r="L69" s="1">
        <v>0</v>
      </c>
      <c r="M69" s="1">
        <v>3260000000</v>
      </c>
      <c r="N69" s="1">
        <v>8470000000</v>
      </c>
    </row>
    <row r="70" spans="1:14" x14ac:dyDescent="0.2">
      <c r="A70" t="s">
        <v>693</v>
      </c>
      <c r="B70" s="1">
        <v>7410000</v>
      </c>
      <c r="C70" s="1">
        <v>0</v>
      </c>
      <c r="D70" s="1">
        <v>0</v>
      </c>
      <c r="E70" s="1">
        <v>438000000</v>
      </c>
      <c r="F70" s="1">
        <v>256000000</v>
      </c>
      <c r="G70" s="1">
        <v>836000000</v>
      </c>
      <c r="H70" s="1">
        <v>199000000</v>
      </c>
      <c r="I70" s="1">
        <v>0</v>
      </c>
      <c r="J70" s="1">
        <v>14400000</v>
      </c>
      <c r="K70" s="1">
        <v>0</v>
      </c>
      <c r="L70" s="1">
        <v>0</v>
      </c>
      <c r="M70" s="1">
        <v>1240000000</v>
      </c>
      <c r="N70" s="1">
        <v>2990000000</v>
      </c>
    </row>
    <row r="71" spans="1:14" x14ac:dyDescent="0.2">
      <c r="A71" t="s">
        <v>694</v>
      </c>
      <c r="B71" s="1">
        <v>8160000</v>
      </c>
      <c r="C71" s="1">
        <v>1950000</v>
      </c>
      <c r="D71" s="1">
        <v>0</v>
      </c>
      <c r="E71" s="1">
        <v>941000000</v>
      </c>
      <c r="F71" s="1">
        <v>171000000</v>
      </c>
      <c r="G71" s="1">
        <v>525000000</v>
      </c>
      <c r="H71" s="1">
        <v>410000000</v>
      </c>
      <c r="I71" s="1">
        <v>151000000</v>
      </c>
      <c r="J71" s="1">
        <v>41100000</v>
      </c>
      <c r="K71" s="1">
        <v>0</v>
      </c>
      <c r="L71" s="1">
        <v>0</v>
      </c>
      <c r="M71" s="1">
        <v>1300000000</v>
      </c>
      <c r="N71" s="1">
        <v>3550000000</v>
      </c>
    </row>
    <row r="72" spans="1:14" x14ac:dyDescent="0.2">
      <c r="A72" t="s">
        <v>695</v>
      </c>
      <c r="B72" s="1">
        <v>2970000</v>
      </c>
      <c r="C72" s="1">
        <v>0</v>
      </c>
      <c r="D72" s="1">
        <v>0</v>
      </c>
      <c r="E72" s="1">
        <v>528000000</v>
      </c>
      <c r="F72" s="1">
        <v>161000000</v>
      </c>
      <c r="G72" s="1">
        <v>557000000</v>
      </c>
      <c r="H72" s="1">
        <v>297000000</v>
      </c>
      <c r="I72" s="1">
        <v>68800000</v>
      </c>
      <c r="J72" s="1">
        <v>34700000</v>
      </c>
      <c r="K72" s="1">
        <v>0</v>
      </c>
      <c r="L72" s="1">
        <v>0</v>
      </c>
      <c r="M72" s="1">
        <v>1570000000</v>
      </c>
      <c r="N72" s="1">
        <v>3220000000</v>
      </c>
    </row>
    <row r="73" spans="1:14" x14ac:dyDescent="0.2">
      <c r="A73" t="s">
        <v>696</v>
      </c>
      <c r="B73" s="1">
        <v>761000</v>
      </c>
      <c r="C73" s="1">
        <v>0</v>
      </c>
      <c r="D73" s="1">
        <v>0</v>
      </c>
      <c r="E73" s="1">
        <v>321000000</v>
      </c>
      <c r="F73" s="1">
        <v>87600000</v>
      </c>
      <c r="G73" s="1">
        <v>356000000</v>
      </c>
      <c r="H73" s="1">
        <v>151000000</v>
      </c>
      <c r="I73" s="1">
        <v>53700000</v>
      </c>
      <c r="J73" s="1">
        <v>10700000</v>
      </c>
      <c r="K73" s="1">
        <v>0</v>
      </c>
      <c r="L73" s="1">
        <v>0</v>
      </c>
      <c r="M73" s="1">
        <v>553000000</v>
      </c>
      <c r="N73" s="1">
        <v>1530000000</v>
      </c>
    </row>
    <row r="74" spans="1:14" x14ac:dyDescent="0.2">
      <c r="A74" t="s">
        <v>697</v>
      </c>
      <c r="B74" s="1">
        <v>27300000</v>
      </c>
      <c r="C74" s="1">
        <v>0</v>
      </c>
      <c r="D74" s="1">
        <v>0</v>
      </c>
      <c r="E74" s="1">
        <v>0</v>
      </c>
      <c r="F74" s="1">
        <v>0</v>
      </c>
      <c r="G74" s="1">
        <v>4670000000</v>
      </c>
      <c r="H74" s="1">
        <v>1570000000</v>
      </c>
      <c r="I74" s="1">
        <v>586000000</v>
      </c>
      <c r="J74" s="1">
        <v>1210000</v>
      </c>
      <c r="K74" s="1">
        <v>17300000000</v>
      </c>
      <c r="L74" s="1">
        <v>657000000</v>
      </c>
      <c r="M74" s="1">
        <v>0</v>
      </c>
      <c r="N74" s="1">
        <v>24900000000</v>
      </c>
    </row>
    <row r="75" spans="1:14" x14ac:dyDescent="0.2">
      <c r="A75" t="s">
        <v>698</v>
      </c>
      <c r="B75" s="1">
        <v>14000000</v>
      </c>
      <c r="C75" s="1">
        <v>0</v>
      </c>
      <c r="D75" s="1">
        <v>0</v>
      </c>
      <c r="E75" s="1">
        <v>341000000</v>
      </c>
      <c r="F75" s="1">
        <v>0</v>
      </c>
      <c r="G75" s="1">
        <v>1830000000</v>
      </c>
      <c r="H75" s="1">
        <v>570000000</v>
      </c>
      <c r="I75" s="1">
        <v>184000000</v>
      </c>
      <c r="J75" s="1">
        <v>1020000</v>
      </c>
      <c r="K75" s="1">
        <v>8480000000</v>
      </c>
      <c r="L75" s="1">
        <v>14300000</v>
      </c>
      <c r="M75" s="1">
        <v>0</v>
      </c>
      <c r="N75" s="1">
        <v>11400000000</v>
      </c>
    </row>
    <row r="76" spans="1:14" x14ac:dyDescent="0.2">
      <c r="A76" t="s">
        <v>699</v>
      </c>
      <c r="B76" s="1">
        <v>13300000</v>
      </c>
      <c r="C76" s="1">
        <v>0</v>
      </c>
      <c r="D76" s="1">
        <v>0</v>
      </c>
      <c r="E76" s="1">
        <v>580000000</v>
      </c>
      <c r="F76" s="1">
        <v>0</v>
      </c>
      <c r="G76" s="1">
        <v>4080000000</v>
      </c>
      <c r="H76" s="1">
        <v>1430000000</v>
      </c>
      <c r="I76" s="1">
        <v>181000000</v>
      </c>
      <c r="J76" s="1">
        <v>1900000</v>
      </c>
      <c r="K76" s="1">
        <v>11800000000</v>
      </c>
      <c r="L76" s="1">
        <v>271000000</v>
      </c>
      <c r="M76" s="1">
        <v>0</v>
      </c>
      <c r="N76" s="1">
        <v>18400000000</v>
      </c>
    </row>
    <row r="77" spans="1:14" x14ac:dyDescent="0.2">
      <c r="A77" t="s">
        <v>700</v>
      </c>
      <c r="B77" s="1">
        <v>10200000</v>
      </c>
      <c r="C77" s="1">
        <v>0</v>
      </c>
      <c r="D77" s="1">
        <v>0</v>
      </c>
      <c r="E77" s="1">
        <v>994000000</v>
      </c>
      <c r="F77" s="1">
        <v>0</v>
      </c>
      <c r="G77" s="1">
        <v>5990000000</v>
      </c>
      <c r="H77" s="1">
        <v>1900000000</v>
      </c>
      <c r="I77" s="1">
        <v>378000000</v>
      </c>
      <c r="J77" s="1">
        <v>8900000</v>
      </c>
      <c r="K77" s="1">
        <v>25500000000</v>
      </c>
      <c r="L77" s="1">
        <v>240000000</v>
      </c>
      <c r="M77" s="1">
        <v>0</v>
      </c>
      <c r="N77" s="1">
        <v>35100000000</v>
      </c>
    </row>
    <row r="78" spans="1:14" x14ac:dyDescent="0.2">
      <c r="A78" t="s">
        <v>701</v>
      </c>
      <c r="B78" s="1">
        <v>22100000</v>
      </c>
      <c r="C78" s="1">
        <v>0</v>
      </c>
      <c r="D78" s="1">
        <v>0</v>
      </c>
      <c r="E78" s="1">
        <v>2830000000</v>
      </c>
      <c r="F78" s="1">
        <v>3050000000</v>
      </c>
      <c r="G78" s="1">
        <v>7030000000</v>
      </c>
      <c r="H78" s="1">
        <v>3130000000</v>
      </c>
      <c r="I78" s="1">
        <v>775000000</v>
      </c>
      <c r="J78" s="1">
        <v>293000000</v>
      </c>
      <c r="K78" s="1">
        <v>24600000000</v>
      </c>
      <c r="L78" s="1">
        <v>126000000</v>
      </c>
      <c r="M78" s="1">
        <v>13400000000</v>
      </c>
      <c r="N78" s="1">
        <v>55200000000</v>
      </c>
    </row>
    <row r="79" spans="1:14" x14ac:dyDescent="0.2">
      <c r="A79" t="s">
        <v>702</v>
      </c>
      <c r="B79" s="1">
        <v>16800000</v>
      </c>
      <c r="C79" s="1">
        <v>0</v>
      </c>
      <c r="D79" s="1">
        <v>0</v>
      </c>
      <c r="E79" s="1">
        <v>1940000000</v>
      </c>
      <c r="F79" s="1">
        <v>3700000000</v>
      </c>
      <c r="G79" s="1">
        <v>3800000000</v>
      </c>
      <c r="H79" s="1">
        <v>1780000000</v>
      </c>
      <c r="I79" s="1">
        <v>0</v>
      </c>
      <c r="J79" s="1">
        <v>660000000</v>
      </c>
      <c r="K79" s="1">
        <v>16800000000</v>
      </c>
      <c r="L79" s="1">
        <v>62300000</v>
      </c>
      <c r="M79" s="1">
        <v>15000000000</v>
      </c>
      <c r="N79" s="1">
        <v>43800000000</v>
      </c>
    </row>
    <row r="80" spans="1:14" x14ac:dyDescent="0.2">
      <c r="A80" t="s">
        <v>703</v>
      </c>
      <c r="B80" s="1">
        <v>29800000</v>
      </c>
      <c r="C80" s="1">
        <v>0</v>
      </c>
      <c r="D80" s="1">
        <v>0</v>
      </c>
      <c r="E80" s="1">
        <v>9160000000</v>
      </c>
      <c r="F80" s="1">
        <v>7850000000</v>
      </c>
      <c r="G80" s="1">
        <v>9460000000</v>
      </c>
      <c r="H80" s="1">
        <v>5880000000</v>
      </c>
      <c r="I80" s="1">
        <v>1070000000</v>
      </c>
      <c r="J80" s="1">
        <v>846000000</v>
      </c>
      <c r="K80" s="1">
        <v>30400000000</v>
      </c>
      <c r="L80" s="1">
        <v>0</v>
      </c>
      <c r="M80" s="1">
        <v>76100000000</v>
      </c>
      <c r="N80" s="1">
        <v>141000000000</v>
      </c>
    </row>
    <row r="81" spans="1:14" x14ac:dyDescent="0.2">
      <c r="A81" t="s">
        <v>704</v>
      </c>
      <c r="B81" s="1">
        <v>22900000</v>
      </c>
      <c r="C81" s="1">
        <v>0</v>
      </c>
      <c r="D81" s="1">
        <v>0</v>
      </c>
      <c r="E81" s="1">
        <v>1660000000</v>
      </c>
      <c r="F81" s="1">
        <v>3360000000</v>
      </c>
      <c r="G81" s="1">
        <v>5550000000</v>
      </c>
      <c r="H81" s="1">
        <v>2680000000</v>
      </c>
      <c r="I81" s="1">
        <v>524000000</v>
      </c>
      <c r="J81" s="1">
        <v>367000000</v>
      </c>
      <c r="K81" s="1">
        <v>19600000000</v>
      </c>
      <c r="L81" s="1">
        <v>225000000</v>
      </c>
      <c r="M81" s="1">
        <v>6540000000</v>
      </c>
      <c r="N81" s="1">
        <v>40600000000</v>
      </c>
    </row>
    <row r="82" spans="1:14" x14ac:dyDescent="0.2">
      <c r="A82" t="s">
        <v>705</v>
      </c>
      <c r="B82" s="1">
        <v>8270000</v>
      </c>
      <c r="C82" s="1">
        <v>0</v>
      </c>
      <c r="D82" s="1">
        <v>0</v>
      </c>
      <c r="E82" s="1">
        <v>2470000000</v>
      </c>
      <c r="F82" s="1">
        <v>4930000000</v>
      </c>
      <c r="G82" s="1">
        <v>4640000000</v>
      </c>
      <c r="H82" s="1">
        <v>3500000000</v>
      </c>
      <c r="I82" s="1">
        <v>432000000</v>
      </c>
      <c r="J82" s="1">
        <v>291000000</v>
      </c>
      <c r="K82" s="1">
        <v>20900000000</v>
      </c>
      <c r="L82" s="1">
        <v>0</v>
      </c>
      <c r="M82" s="1">
        <v>14200000000</v>
      </c>
      <c r="N82" s="1">
        <v>51400000000</v>
      </c>
    </row>
    <row r="83" spans="1:14" x14ac:dyDescent="0.2">
      <c r="A83" t="s">
        <v>706</v>
      </c>
      <c r="B83" s="1">
        <v>0</v>
      </c>
      <c r="C83" s="1">
        <v>0</v>
      </c>
      <c r="D83" s="1">
        <v>0</v>
      </c>
      <c r="E83" s="1">
        <v>3180000000</v>
      </c>
      <c r="F83" s="1">
        <v>6200000000</v>
      </c>
      <c r="G83" s="1">
        <v>7940000000</v>
      </c>
      <c r="H83" s="1">
        <v>3270000000</v>
      </c>
      <c r="I83" s="1">
        <v>1230000000</v>
      </c>
      <c r="J83" s="1">
        <v>756000000</v>
      </c>
      <c r="K83" s="1">
        <v>33500000000</v>
      </c>
      <c r="L83" s="1">
        <v>678000000</v>
      </c>
      <c r="M83" s="1">
        <v>28900000000</v>
      </c>
      <c r="N83" s="1">
        <v>85700000000</v>
      </c>
    </row>
    <row r="84" spans="1:14" x14ac:dyDescent="0.2">
      <c r="A84" t="s">
        <v>707</v>
      </c>
      <c r="B84" s="1">
        <v>0</v>
      </c>
      <c r="C84" s="1">
        <v>0</v>
      </c>
      <c r="D84" s="1">
        <v>0</v>
      </c>
      <c r="E84" s="1">
        <v>3190000000</v>
      </c>
      <c r="F84" s="1">
        <v>2290000000</v>
      </c>
      <c r="G84" s="1">
        <v>5170000000</v>
      </c>
      <c r="H84" s="1">
        <v>2380000000</v>
      </c>
      <c r="I84" s="1">
        <v>689000000</v>
      </c>
      <c r="J84" s="1">
        <v>364000000</v>
      </c>
      <c r="K84" s="1">
        <v>22900000000</v>
      </c>
      <c r="L84" s="1">
        <v>136000000</v>
      </c>
      <c r="M84" s="1">
        <v>19900000000</v>
      </c>
      <c r="N84" s="1">
        <v>57000000000</v>
      </c>
    </row>
    <row r="85" spans="1:14" x14ac:dyDescent="0.2">
      <c r="A85" t="s">
        <v>708</v>
      </c>
      <c r="B85" s="1">
        <v>0</v>
      </c>
      <c r="C85" s="1">
        <v>0</v>
      </c>
      <c r="D85" s="1">
        <v>0</v>
      </c>
      <c r="E85" s="1">
        <v>6350000000</v>
      </c>
      <c r="F85" s="1">
        <v>16800000000</v>
      </c>
      <c r="G85" s="1">
        <v>16200000000</v>
      </c>
      <c r="H85" s="1">
        <v>4950000000</v>
      </c>
      <c r="I85" s="1">
        <v>1900000000</v>
      </c>
      <c r="J85" s="1">
        <v>60500000</v>
      </c>
      <c r="K85" s="1">
        <v>59200000000</v>
      </c>
      <c r="L85" s="1">
        <v>0</v>
      </c>
      <c r="M85" s="1">
        <v>6760000000</v>
      </c>
      <c r="N85" s="1">
        <v>112000000000</v>
      </c>
    </row>
    <row r="86" spans="1:14" x14ac:dyDescent="0.2">
      <c r="A86" t="s">
        <v>709</v>
      </c>
      <c r="B86" s="1">
        <v>0</v>
      </c>
      <c r="C86" s="1">
        <v>0</v>
      </c>
      <c r="D86" s="1">
        <v>0</v>
      </c>
      <c r="E86" s="1">
        <v>6560000000</v>
      </c>
      <c r="F86" s="1">
        <v>9940000000</v>
      </c>
      <c r="G86" s="1">
        <v>11700000000</v>
      </c>
      <c r="H86" s="1">
        <v>6530000000</v>
      </c>
      <c r="I86" s="1">
        <v>1720000000</v>
      </c>
      <c r="J86" s="1">
        <v>706000000</v>
      </c>
      <c r="K86" s="1">
        <v>0</v>
      </c>
      <c r="L86" s="1">
        <v>139000000</v>
      </c>
      <c r="M86" s="1">
        <v>36600000000</v>
      </c>
      <c r="N86" s="1">
        <v>73900000000</v>
      </c>
    </row>
    <row r="87" spans="1:14" x14ac:dyDescent="0.2">
      <c r="A87" t="s">
        <v>710</v>
      </c>
      <c r="B87" s="1">
        <v>115000000</v>
      </c>
      <c r="C87" s="1">
        <v>0</v>
      </c>
      <c r="D87" s="1">
        <v>0</v>
      </c>
      <c r="E87" s="1">
        <v>6670000000</v>
      </c>
      <c r="F87" s="1">
        <v>3420000000</v>
      </c>
      <c r="G87" s="1">
        <v>5670000000</v>
      </c>
      <c r="H87" s="1">
        <v>4590000000</v>
      </c>
      <c r="I87" s="1">
        <v>795000000</v>
      </c>
      <c r="J87" s="1">
        <v>201000000</v>
      </c>
      <c r="K87" s="1">
        <v>0</v>
      </c>
      <c r="L87" s="1">
        <v>0</v>
      </c>
      <c r="M87" s="1">
        <v>30800000000</v>
      </c>
      <c r="N87" s="1">
        <v>52200000000</v>
      </c>
    </row>
    <row r="88" spans="1:14" x14ac:dyDescent="0.2">
      <c r="A88" t="s">
        <v>711</v>
      </c>
      <c r="B88" s="1">
        <v>11300000</v>
      </c>
      <c r="C88" s="1">
        <v>0</v>
      </c>
      <c r="D88" s="1">
        <v>0</v>
      </c>
      <c r="E88" s="1">
        <v>3180000000</v>
      </c>
      <c r="F88" s="1">
        <v>2030000000</v>
      </c>
      <c r="G88" s="1">
        <v>2620000000</v>
      </c>
      <c r="H88" s="1">
        <v>3570000000</v>
      </c>
      <c r="I88" s="1">
        <v>355000000</v>
      </c>
      <c r="J88" s="1">
        <v>15600000</v>
      </c>
      <c r="K88" s="1">
        <v>0</v>
      </c>
      <c r="L88" s="1">
        <v>0</v>
      </c>
      <c r="M88" s="1">
        <v>2580000000</v>
      </c>
      <c r="N88" s="1">
        <v>14400000000</v>
      </c>
    </row>
    <row r="89" spans="1:14" x14ac:dyDescent="0.2">
      <c r="A89" t="s">
        <v>712</v>
      </c>
      <c r="B89" s="1">
        <v>5870000</v>
      </c>
      <c r="C89" s="1">
        <v>0</v>
      </c>
      <c r="D89" s="1">
        <v>0</v>
      </c>
      <c r="E89" s="1">
        <v>1820000000</v>
      </c>
      <c r="F89" s="1">
        <v>1110000000</v>
      </c>
      <c r="G89" s="1">
        <v>2460000000</v>
      </c>
      <c r="H89" s="1">
        <v>1090000000</v>
      </c>
      <c r="I89" s="1">
        <v>210000000</v>
      </c>
      <c r="J89" s="1">
        <v>6880000</v>
      </c>
      <c r="K89" s="1">
        <v>0</v>
      </c>
      <c r="L89" s="1">
        <v>0</v>
      </c>
      <c r="M89" s="1">
        <v>1580000000</v>
      </c>
      <c r="N89" s="1">
        <v>8300000000</v>
      </c>
    </row>
    <row r="90" spans="1:14" x14ac:dyDescent="0.2">
      <c r="A90" t="s">
        <v>713</v>
      </c>
      <c r="B90" s="1">
        <v>10800000</v>
      </c>
      <c r="C90" s="1">
        <v>0</v>
      </c>
      <c r="D90" s="1">
        <v>0</v>
      </c>
      <c r="E90" s="1">
        <v>4720000000</v>
      </c>
      <c r="F90" s="1">
        <v>2330000000</v>
      </c>
      <c r="G90" s="1">
        <v>5440000000</v>
      </c>
      <c r="H90" s="1">
        <v>3770000000</v>
      </c>
      <c r="I90" s="1">
        <v>610000000</v>
      </c>
      <c r="J90" s="1">
        <v>14600000</v>
      </c>
      <c r="K90" s="1">
        <v>0</v>
      </c>
      <c r="L90" s="1">
        <v>0</v>
      </c>
      <c r="M90" s="1">
        <v>3580000000</v>
      </c>
      <c r="N90" s="1">
        <v>20500000000</v>
      </c>
    </row>
    <row r="91" spans="1:14" x14ac:dyDescent="0.2">
      <c r="A91" t="s">
        <v>714</v>
      </c>
      <c r="B91" s="1">
        <v>47200000</v>
      </c>
      <c r="C91" s="1">
        <v>32600000</v>
      </c>
      <c r="D91" s="1">
        <v>0</v>
      </c>
      <c r="E91" s="1">
        <v>1710000000</v>
      </c>
      <c r="F91" s="1">
        <v>3710000</v>
      </c>
      <c r="G91" s="1">
        <v>7030000000</v>
      </c>
      <c r="H91" s="1">
        <v>6320000000</v>
      </c>
      <c r="I91" s="1">
        <v>724000000</v>
      </c>
      <c r="J91" s="1">
        <v>0</v>
      </c>
      <c r="K91" s="1">
        <v>21200000000</v>
      </c>
      <c r="L91" s="1">
        <v>211000000</v>
      </c>
      <c r="M91" s="1">
        <v>0</v>
      </c>
      <c r="N91" s="1">
        <v>37300000000</v>
      </c>
    </row>
    <row r="92" spans="1:14" x14ac:dyDescent="0.2">
      <c r="A92" t="s">
        <v>715</v>
      </c>
      <c r="B92" s="1">
        <v>16600000</v>
      </c>
      <c r="C92" s="1">
        <v>0</v>
      </c>
      <c r="D92" s="1">
        <v>0</v>
      </c>
      <c r="E92" s="1">
        <v>973000000</v>
      </c>
      <c r="F92" s="1">
        <v>0</v>
      </c>
      <c r="G92" s="1">
        <v>3160000000</v>
      </c>
      <c r="H92" s="1">
        <v>1060000000</v>
      </c>
      <c r="I92" s="1">
        <v>388000000</v>
      </c>
      <c r="J92" s="1">
        <v>0</v>
      </c>
      <c r="K92" s="1">
        <v>11700000000</v>
      </c>
      <c r="L92" s="1">
        <v>0</v>
      </c>
      <c r="M92" s="1">
        <v>0</v>
      </c>
      <c r="N92" s="1">
        <v>17300000000</v>
      </c>
    </row>
    <row r="93" spans="1:14" x14ac:dyDescent="0.2">
      <c r="A93" t="s">
        <v>716</v>
      </c>
      <c r="B93" s="1">
        <v>14800000</v>
      </c>
      <c r="C93" s="1">
        <v>0</v>
      </c>
      <c r="D93" s="1">
        <v>0</v>
      </c>
      <c r="E93" s="1">
        <v>1250000000</v>
      </c>
      <c r="F93" s="1">
        <v>0</v>
      </c>
      <c r="G93" s="1">
        <v>3050000000</v>
      </c>
      <c r="H93" s="1">
        <v>1560000000</v>
      </c>
      <c r="I93" s="1">
        <v>313000000</v>
      </c>
      <c r="J93" s="1">
        <v>962000</v>
      </c>
      <c r="K93" s="1">
        <v>11000000000</v>
      </c>
      <c r="L93" s="1">
        <v>391000000</v>
      </c>
      <c r="M93" s="1">
        <v>0</v>
      </c>
      <c r="N93" s="1">
        <v>17600000000</v>
      </c>
    </row>
    <row r="94" spans="1:14" x14ac:dyDescent="0.2">
      <c r="A94" t="s">
        <v>717</v>
      </c>
      <c r="B94" s="1">
        <v>9650000</v>
      </c>
      <c r="C94" s="1">
        <v>0</v>
      </c>
      <c r="D94" s="1">
        <v>0</v>
      </c>
      <c r="E94" s="1">
        <v>1250000000</v>
      </c>
      <c r="F94" s="1">
        <v>0</v>
      </c>
      <c r="G94" s="1">
        <v>5500000000</v>
      </c>
      <c r="H94" s="1">
        <v>1050000000</v>
      </c>
      <c r="I94" s="1">
        <v>739000000</v>
      </c>
      <c r="J94" s="1">
        <v>9840000</v>
      </c>
      <c r="K94" s="1">
        <v>23900000000</v>
      </c>
      <c r="L94" s="1">
        <v>184000000</v>
      </c>
      <c r="M94" s="1">
        <v>0</v>
      </c>
      <c r="N94" s="1">
        <v>32700000000</v>
      </c>
    </row>
    <row r="95" spans="1:14" x14ac:dyDescent="0.2">
      <c r="A95" t="s">
        <v>718</v>
      </c>
      <c r="B95" s="1">
        <v>23100000</v>
      </c>
      <c r="C95" s="1">
        <v>0</v>
      </c>
      <c r="D95" s="1">
        <v>0</v>
      </c>
      <c r="E95" s="1">
        <v>3350000000</v>
      </c>
      <c r="F95" s="1">
        <v>7340000000</v>
      </c>
      <c r="G95" s="1">
        <v>9610000000</v>
      </c>
      <c r="H95" s="1">
        <v>3440000000</v>
      </c>
      <c r="I95" s="1">
        <v>691000000</v>
      </c>
      <c r="J95" s="1">
        <v>874000000</v>
      </c>
      <c r="K95" s="1">
        <v>30900000000</v>
      </c>
      <c r="L95" s="1">
        <v>0</v>
      </c>
      <c r="M95" s="1">
        <v>14100000000</v>
      </c>
      <c r="N95" s="1">
        <v>70300000000</v>
      </c>
    </row>
    <row r="96" spans="1:14" x14ac:dyDescent="0.2">
      <c r="A96" t="s">
        <v>719</v>
      </c>
      <c r="B96" s="1">
        <v>27100000</v>
      </c>
      <c r="C96" s="1">
        <v>0</v>
      </c>
      <c r="D96" s="1">
        <v>0</v>
      </c>
      <c r="E96" s="1">
        <v>3090000000</v>
      </c>
      <c r="F96" s="1">
        <v>3460000000</v>
      </c>
      <c r="G96" s="1">
        <v>3270000000</v>
      </c>
      <c r="H96" s="1">
        <v>4810000000</v>
      </c>
      <c r="I96" s="1">
        <v>878000000</v>
      </c>
      <c r="J96" s="1">
        <v>264000000</v>
      </c>
      <c r="K96" s="1">
        <v>31100000000</v>
      </c>
      <c r="L96" s="1">
        <v>54400000</v>
      </c>
      <c r="M96" s="1">
        <v>13200000000</v>
      </c>
      <c r="N96" s="1">
        <v>60100000000</v>
      </c>
    </row>
    <row r="97" spans="1:14" x14ac:dyDescent="0.2">
      <c r="A97" t="s">
        <v>720</v>
      </c>
      <c r="B97" s="1">
        <v>1100000</v>
      </c>
      <c r="C97" s="1">
        <v>0</v>
      </c>
      <c r="D97" s="1">
        <v>0</v>
      </c>
      <c r="E97" s="1">
        <v>390000000</v>
      </c>
      <c r="F97" s="1">
        <v>686000000</v>
      </c>
      <c r="G97" s="1">
        <v>498000000</v>
      </c>
      <c r="H97" s="1">
        <v>433000000</v>
      </c>
      <c r="I97" s="1">
        <v>65000000</v>
      </c>
      <c r="J97" s="1">
        <v>64700000</v>
      </c>
      <c r="K97" s="1">
        <v>2360000000</v>
      </c>
      <c r="L97" s="1">
        <v>0</v>
      </c>
      <c r="M97" s="1">
        <v>2510000000</v>
      </c>
      <c r="N97" s="1">
        <v>7010000000</v>
      </c>
    </row>
    <row r="98" spans="1:14" x14ac:dyDescent="0.2">
      <c r="A98" t="s">
        <v>721</v>
      </c>
      <c r="B98" s="1">
        <v>39900000</v>
      </c>
      <c r="C98" s="1">
        <v>0</v>
      </c>
      <c r="D98" s="1">
        <v>0</v>
      </c>
      <c r="E98" s="1">
        <v>4560000000</v>
      </c>
      <c r="F98" s="1">
        <v>5880000000</v>
      </c>
      <c r="G98" s="1">
        <v>6240000000</v>
      </c>
      <c r="H98" s="1">
        <v>7570000000</v>
      </c>
      <c r="I98" s="1">
        <v>923000000</v>
      </c>
      <c r="J98" s="1">
        <v>626000000</v>
      </c>
      <c r="K98" s="1">
        <v>37400000000</v>
      </c>
      <c r="L98" s="1">
        <v>278000000</v>
      </c>
      <c r="M98" s="1">
        <v>20400000000</v>
      </c>
      <c r="N98" s="1">
        <v>83900000000</v>
      </c>
    </row>
    <row r="99" spans="1:14" x14ac:dyDescent="0.2">
      <c r="A99" t="s">
        <v>722</v>
      </c>
      <c r="B99" s="1">
        <v>7180000</v>
      </c>
      <c r="C99" s="1">
        <v>0</v>
      </c>
      <c r="D99" s="1">
        <v>0</v>
      </c>
      <c r="E99" s="1">
        <v>2770000000</v>
      </c>
      <c r="F99" s="1">
        <v>4900000000</v>
      </c>
      <c r="G99" s="1">
        <v>4360000000</v>
      </c>
      <c r="H99" s="1">
        <v>3240000000</v>
      </c>
      <c r="I99" s="1">
        <v>463000000</v>
      </c>
      <c r="J99" s="1">
        <v>432000000</v>
      </c>
      <c r="K99" s="1">
        <v>26300000000</v>
      </c>
      <c r="L99" s="1">
        <v>0</v>
      </c>
      <c r="M99" s="1">
        <v>22100000000</v>
      </c>
      <c r="N99" s="1">
        <v>64500000000</v>
      </c>
    </row>
    <row r="100" spans="1:14" x14ac:dyDescent="0.2">
      <c r="A100" t="s">
        <v>723</v>
      </c>
      <c r="B100" s="1">
        <v>0</v>
      </c>
      <c r="C100" s="1">
        <v>0</v>
      </c>
      <c r="D100" s="1">
        <v>0</v>
      </c>
      <c r="E100" s="1">
        <v>1890000000</v>
      </c>
      <c r="F100" s="1">
        <v>3580000000</v>
      </c>
      <c r="G100" s="1">
        <v>2610000000</v>
      </c>
      <c r="H100" s="1">
        <v>1510000000</v>
      </c>
      <c r="I100" s="1">
        <v>473000000</v>
      </c>
      <c r="J100" s="1">
        <v>308000000</v>
      </c>
      <c r="K100" s="1">
        <v>17400000000</v>
      </c>
      <c r="L100" s="1">
        <v>114000000</v>
      </c>
      <c r="M100" s="1">
        <v>13300000000</v>
      </c>
      <c r="N100" s="1">
        <v>41100000000</v>
      </c>
    </row>
    <row r="101" spans="1:14" x14ac:dyDescent="0.2">
      <c r="A101" t="s">
        <v>724</v>
      </c>
      <c r="B101" s="1">
        <v>0</v>
      </c>
      <c r="C101" s="1">
        <v>13900000</v>
      </c>
      <c r="D101" s="1">
        <v>0</v>
      </c>
      <c r="E101" s="1">
        <v>1740000000</v>
      </c>
      <c r="F101" s="1">
        <v>4680000000</v>
      </c>
      <c r="G101" s="1">
        <v>3980000000</v>
      </c>
      <c r="H101" s="1">
        <v>2030000000</v>
      </c>
      <c r="I101" s="1">
        <v>447000000</v>
      </c>
      <c r="J101" s="1">
        <v>720000000</v>
      </c>
      <c r="K101" s="1">
        <v>13100000000</v>
      </c>
      <c r="L101" s="1">
        <v>46100000</v>
      </c>
      <c r="M101" s="1">
        <v>15400000000</v>
      </c>
      <c r="N101" s="1">
        <v>42200000000</v>
      </c>
    </row>
    <row r="102" spans="1:14" x14ac:dyDescent="0.2">
      <c r="A102" t="s">
        <v>725</v>
      </c>
      <c r="B102" s="1">
        <v>0</v>
      </c>
      <c r="C102" s="1">
        <v>0</v>
      </c>
      <c r="D102" s="1">
        <v>0</v>
      </c>
      <c r="E102" s="1">
        <v>4220000000</v>
      </c>
      <c r="F102" s="1">
        <v>3080000000</v>
      </c>
      <c r="G102" s="1">
        <v>4830000000</v>
      </c>
      <c r="H102" s="1">
        <v>7520000000</v>
      </c>
      <c r="I102" s="1">
        <v>1720000000</v>
      </c>
      <c r="J102" s="1">
        <v>558000000</v>
      </c>
      <c r="K102" s="1">
        <v>33900000000</v>
      </c>
      <c r="L102" s="1">
        <v>144000000</v>
      </c>
      <c r="M102" s="1">
        <v>35500000000</v>
      </c>
      <c r="N102" s="1">
        <v>91500000000</v>
      </c>
    </row>
    <row r="103" spans="1:14" x14ac:dyDescent="0.2">
      <c r="A103" t="s">
        <v>726</v>
      </c>
      <c r="B103" s="1">
        <v>0</v>
      </c>
      <c r="C103" s="1">
        <v>0</v>
      </c>
      <c r="D103" s="1">
        <v>0</v>
      </c>
      <c r="E103" s="1">
        <v>2380000000</v>
      </c>
      <c r="F103" s="1">
        <v>6670000000</v>
      </c>
      <c r="G103" s="1">
        <v>2630000000</v>
      </c>
      <c r="H103" s="1">
        <v>3720000000</v>
      </c>
      <c r="I103" s="1">
        <v>710000000</v>
      </c>
      <c r="J103" s="1">
        <v>433000000</v>
      </c>
      <c r="K103" s="1">
        <v>25600000000</v>
      </c>
      <c r="L103" s="1">
        <v>212000000</v>
      </c>
      <c r="M103" s="1">
        <v>20200000000</v>
      </c>
      <c r="N103" s="1">
        <v>62500000000</v>
      </c>
    </row>
    <row r="104" spans="1:14" x14ac:dyDescent="0.2">
      <c r="A104" t="s">
        <v>727</v>
      </c>
      <c r="B104" s="1">
        <v>0</v>
      </c>
      <c r="C104" s="1">
        <v>20500000</v>
      </c>
      <c r="D104" s="1">
        <v>0</v>
      </c>
      <c r="E104" s="1">
        <v>4940000000</v>
      </c>
      <c r="F104" s="1">
        <v>8080000000</v>
      </c>
      <c r="G104" s="1">
        <v>3350000000</v>
      </c>
      <c r="H104" s="1">
        <v>4810000000</v>
      </c>
      <c r="I104" s="1">
        <v>1050000000</v>
      </c>
      <c r="J104" s="1">
        <v>618000000</v>
      </c>
      <c r="K104" s="1">
        <v>33700000000</v>
      </c>
      <c r="L104" s="1">
        <v>135000000</v>
      </c>
      <c r="M104" s="1">
        <v>38100000000</v>
      </c>
      <c r="N104" s="1">
        <v>94800000000</v>
      </c>
    </row>
    <row r="105" spans="1:14" x14ac:dyDescent="0.2">
      <c r="A105" t="s">
        <v>728</v>
      </c>
      <c r="B105" s="1">
        <v>38400000</v>
      </c>
      <c r="C105" s="1">
        <v>12700000</v>
      </c>
      <c r="D105" s="1">
        <v>0</v>
      </c>
      <c r="E105" s="1">
        <v>5910000000</v>
      </c>
      <c r="F105" s="1">
        <v>3520000000</v>
      </c>
      <c r="G105" s="1">
        <v>11100000000</v>
      </c>
      <c r="H105" s="1">
        <v>2930000000</v>
      </c>
      <c r="I105" s="1">
        <v>961000000</v>
      </c>
      <c r="J105" s="1">
        <v>266000000</v>
      </c>
      <c r="K105" s="1">
        <v>0</v>
      </c>
      <c r="L105" s="1">
        <v>0</v>
      </c>
      <c r="M105" s="1">
        <v>17500000000</v>
      </c>
      <c r="N105" s="1">
        <v>42200000000</v>
      </c>
    </row>
    <row r="106" spans="1:14" x14ac:dyDescent="0.2">
      <c r="A106" t="s">
        <v>729</v>
      </c>
      <c r="B106" s="1">
        <v>28700000</v>
      </c>
      <c r="C106" s="1">
        <v>3740000</v>
      </c>
      <c r="D106" s="1">
        <v>0</v>
      </c>
      <c r="E106" s="1">
        <v>2110000000</v>
      </c>
      <c r="F106" s="1">
        <v>961000000</v>
      </c>
      <c r="G106" s="1">
        <v>1120000000</v>
      </c>
      <c r="H106" s="1">
        <v>1560000000</v>
      </c>
      <c r="I106" s="1">
        <v>266000000</v>
      </c>
      <c r="J106" s="1">
        <v>61100000</v>
      </c>
      <c r="K106" s="1">
        <v>0</v>
      </c>
      <c r="L106" s="1">
        <v>0</v>
      </c>
      <c r="M106" s="1">
        <v>10800000000</v>
      </c>
      <c r="N106" s="1">
        <v>16900000000</v>
      </c>
    </row>
    <row r="107" spans="1:14" x14ac:dyDescent="0.2">
      <c r="A107" t="s">
        <v>730</v>
      </c>
      <c r="B107" s="1">
        <v>34200000</v>
      </c>
      <c r="C107" s="1">
        <v>13900000</v>
      </c>
      <c r="D107" s="1">
        <v>0</v>
      </c>
      <c r="E107" s="1">
        <v>5110000000</v>
      </c>
      <c r="F107" s="1">
        <v>4030000000</v>
      </c>
      <c r="G107" s="1">
        <v>4710000000</v>
      </c>
      <c r="H107" s="1">
        <v>3230000000</v>
      </c>
      <c r="I107" s="1">
        <v>681000000</v>
      </c>
      <c r="J107" s="1">
        <v>253000000</v>
      </c>
      <c r="K107" s="1">
        <v>0</v>
      </c>
      <c r="L107" s="1">
        <v>0</v>
      </c>
      <c r="M107" s="1">
        <v>15000000000</v>
      </c>
      <c r="N107" s="1">
        <v>33000000000</v>
      </c>
    </row>
    <row r="108" spans="1:14" x14ac:dyDescent="0.2">
      <c r="A108" t="s">
        <v>731</v>
      </c>
      <c r="B108" s="1">
        <v>24100000</v>
      </c>
      <c r="C108" s="1">
        <v>10100000</v>
      </c>
      <c r="D108" s="1">
        <v>0</v>
      </c>
      <c r="E108" s="1">
        <v>2640000000</v>
      </c>
      <c r="F108" s="1">
        <v>1520000000</v>
      </c>
      <c r="G108" s="1">
        <v>1370000000</v>
      </c>
      <c r="H108" s="1">
        <v>1700000000</v>
      </c>
      <c r="I108" s="1">
        <v>293000000</v>
      </c>
      <c r="J108" s="1">
        <v>142000000</v>
      </c>
      <c r="K108" s="1">
        <v>0</v>
      </c>
      <c r="L108" s="1">
        <v>0</v>
      </c>
      <c r="M108" s="1">
        <v>15100000000</v>
      </c>
      <c r="N108" s="1">
        <v>22800000000</v>
      </c>
    </row>
    <row r="109" spans="1:14" x14ac:dyDescent="0.2">
      <c r="A109" t="s">
        <v>732</v>
      </c>
      <c r="B109" s="1">
        <v>18000000</v>
      </c>
      <c r="C109" s="1">
        <v>11800000</v>
      </c>
      <c r="D109" s="1">
        <v>0</v>
      </c>
      <c r="E109" s="1">
        <v>4070000000</v>
      </c>
      <c r="F109" s="1">
        <v>2360000000</v>
      </c>
      <c r="G109" s="1">
        <v>2260000000</v>
      </c>
      <c r="H109" s="1">
        <v>2690000000</v>
      </c>
      <c r="I109" s="1">
        <v>577000000</v>
      </c>
      <c r="J109" s="1">
        <v>217000000</v>
      </c>
      <c r="K109" s="1">
        <v>0</v>
      </c>
      <c r="L109" s="1">
        <v>0</v>
      </c>
      <c r="M109" s="1">
        <v>20900000000</v>
      </c>
      <c r="N109" s="1">
        <v>33100000000</v>
      </c>
    </row>
    <row r="110" spans="1:14" x14ac:dyDescent="0.2">
      <c r="A110" t="s">
        <v>733</v>
      </c>
      <c r="B110" s="1">
        <v>46100000</v>
      </c>
      <c r="C110" s="1">
        <v>0</v>
      </c>
      <c r="D110" s="1">
        <v>0</v>
      </c>
      <c r="E110" s="1">
        <v>2200000000</v>
      </c>
      <c r="F110" s="1">
        <v>0</v>
      </c>
      <c r="G110" s="1">
        <v>11600000000</v>
      </c>
      <c r="H110" s="1">
        <v>3000000000</v>
      </c>
      <c r="I110" s="1">
        <v>726000000</v>
      </c>
      <c r="J110" s="1">
        <v>0</v>
      </c>
      <c r="K110" s="1">
        <v>24700000000</v>
      </c>
      <c r="L110" s="1">
        <v>1620000000</v>
      </c>
      <c r="M110" s="1">
        <v>0</v>
      </c>
      <c r="N110" s="1">
        <v>43900000000</v>
      </c>
    </row>
    <row r="111" spans="1:14" x14ac:dyDescent="0.2">
      <c r="A111" t="s">
        <v>734</v>
      </c>
      <c r="B111" s="1">
        <v>62000000</v>
      </c>
      <c r="C111" s="1">
        <v>0</v>
      </c>
      <c r="D111" s="1">
        <v>0</v>
      </c>
      <c r="E111" s="1">
        <v>2530000000</v>
      </c>
      <c r="F111" s="1">
        <v>0</v>
      </c>
      <c r="G111" s="1">
        <v>11600000000</v>
      </c>
      <c r="H111" s="1">
        <v>2900000000</v>
      </c>
      <c r="I111" s="1">
        <v>1190000000</v>
      </c>
      <c r="J111" s="1">
        <v>3930000</v>
      </c>
      <c r="K111" s="1">
        <v>38800000000</v>
      </c>
      <c r="L111" s="1">
        <v>66600000</v>
      </c>
      <c r="M111" s="1">
        <v>0</v>
      </c>
      <c r="N111" s="1">
        <v>57100000000</v>
      </c>
    </row>
    <row r="112" spans="1:14" x14ac:dyDescent="0.2">
      <c r="A112" t="s">
        <v>735</v>
      </c>
      <c r="B112" s="1">
        <v>16200000</v>
      </c>
      <c r="C112" s="1">
        <v>0</v>
      </c>
      <c r="D112" s="1">
        <v>0</v>
      </c>
      <c r="E112" s="1">
        <v>1100000000</v>
      </c>
      <c r="F112" s="1">
        <v>0</v>
      </c>
      <c r="G112" s="1">
        <v>1410000000</v>
      </c>
      <c r="H112" s="1">
        <v>1220000000</v>
      </c>
      <c r="I112" s="1">
        <v>379000000</v>
      </c>
      <c r="J112" s="1">
        <v>1770000</v>
      </c>
      <c r="K112" s="1">
        <v>13300000000</v>
      </c>
      <c r="L112" s="1">
        <v>955000000</v>
      </c>
      <c r="M112" s="1">
        <v>0</v>
      </c>
      <c r="N112" s="1">
        <v>18400000000</v>
      </c>
    </row>
    <row r="113" spans="1:14" x14ac:dyDescent="0.2">
      <c r="A113" t="s">
        <v>736</v>
      </c>
      <c r="B113" s="1">
        <v>20200000</v>
      </c>
      <c r="C113" s="1">
        <v>0</v>
      </c>
      <c r="D113" s="1">
        <v>0</v>
      </c>
      <c r="E113" s="1">
        <v>1620000000</v>
      </c>
      <c r="F113" s="1">
        <v>6870000</v>
      </c>
      <c r="G113" s="1">
        <v>4670000000</v>
      </c>
      <c r="H113" s="1">
        <v>2630000000</v>
      </c>
      <c r="I113" s="1">
        <v>718000000</v>
      </c>
      <c r="J113" s="1">
        <v>50800000</v>
      </c>
      <c r="K113" s="1">
        <v>30400000000</v>
      </c>
      <c r="L113" s="1">
        <v>1000000000</v>
      </c>
      <c r="M113" s="1">
        <v>0</v>
      </c>
      <c r="N113" s="1">
        <v>41100000000</v>
      </c>
    </row>
    <row r="114" spans="1:14" x14ac:dyDescent="0.2">
      <c r="A114" t="s">
        <v>737</v>
      </c>
      <c r="B114" s="1">
        <v>1910000</v>
      </c>
      <c r="C114" s="1">
        <v>0</v>
      </c>
      <c r="D114" s="1">
        <v>0</v>
      </c>
      <c r="E114" s="1">
        <v>682000</v>
      </c>
      <c r="F114" s="1">
        <v>363000</v>
      </c>
      <c r="G114" s="1">
        <v>2520000</v>
      </c>
      <c r="H114" s="1">
        <v>2470000</v>
      </c>
      <c r="I114" s="1">
        <v>666000</v>
      </c>
      <c r="J114" s="1">
        <v>675000</v>
      </c>
      <c r="K114" s="1">
        <v>4780000</v>
      </c>
      <c r="L114" s="1">
        <v>465000000</v>
      </c>
      <c r="M114" s="1">
        <v>10700000</v>
      </c>
      <c r="N114" s="1">
        <v>490000000</v>
      </c>
    </row>
    <row r="115" spans="1:14" x14ac:dyDescent="0.2">
      <c r="A115" t="s">
        <v>738</v>
      </c>
      <c r="B115" s="1">
        <v>983000</v>
      </c>
      <c r="C115" s="1">
        <v>0</v>
      </c>
      <c r="D115" s="1">
        <v>0</v>
      </c>
      <c r="E115" s="1">
        <v>58700</v>
      </c>
      <c r="F115" s="1">
        <v>229000</v>
      </c>
      <c r="G115" s="1">
        <v>514000</v>
      </c>
      <c r="H115" s="1">
        <v>244000</v>
      </c>
      <c r="I115" s="1">
        <v>0</v>
      </c>
      <c r="J115" s="1">
        <v>248000</v>
      </c>
      <c r="K115" s="1">
        <v>401000</v>
      </c>
      <c r="L115" s="1">
        <v>104000000</v>
      </c>
      <c r="M115" s="1">
        <v>1630000</v>
      </c>
      <c r="N115" s="1">
        <v>109000000</v>
      </c>
    </row>
    <row r="116" spans="1:14" x14ac:dyDescent="0.2">
      <c r="A116" t="s">
        <v>739</v>
      </c>
      <c r="B116" s="1">
        <v>3200000</v>
      </c>
      <c r="C116" s="1">
        <v>0</v>
      </c>
      <c r="D116" s="1">
        <v>0</v>
      </c>
      <c r="E116" s="1">
        <v>188000</v>
      </c>
      <c r="F116" s="1">
        <v>0</v>
      </c>
      <c r="G116" s="1">
        <v>2300000</v>
      </c>
      <c r="H116" s="1">
        <v>472000</v>
      </c>
      <c r="I116" s="1">
        <v>0</v>
      </c>
      <c r="J116" s="1">
        <v>740000</v>
      </c>
      <c r="K116" s="1">
        <v>935000</v>
      </c>
      <c r="L116" s="1">
        <v>947000000</v>
      </c>
      <c r="M116" s="1">
        <v>9710000</v>
      </c>
      <c r="N116" s="1">
        <v>965000000</v>
      </c>
    </row>
    <row r="117" spans="1:14" x14ac:dyDescent="0.2">
      <c r="A117" t="s">
        <v>740</v>
      </c>
      <c r="B117" s="1">
        <v>1480000</v>
      </c>
      <c r="C117" s="1">
        <v>0</v>
      </c>
      <c r="D117" s="1">
        <v>0</v>
      </c>
      <c r="E117" s="1">
        <v>5290000</v>
      </c>
      <c r="F117" s="1">
        <v>3640000</v>
      </c>
      <c r="G117" s="1">
        <v>15200000</v>
      </c>
      <c r="H117" s="1">
        <v>6240000</v>
      </c>
      <c r="I117" s="1">
        <v>7220000</v>
      </c>
      <c r="J117" s="1">
        <v>8710000</v>
      </c>
      <c r="K117" s="1">
        <v>19400000</v>
      </c>
      <c r="L117" s="1">
        <v>202000000</v>
      </c>
      <c r="M117" s="1">
        <v>83600000</v>
      </c>
      <c r="N117" s="1">
        <v>352000000</v>
      </c>
    </row>
    <row r="118" spans="1:14" x14ac:dyDescent="0.2">
      <c r="A118" t="s">
        <v>741</v>
      </c>
      <c r="B118" s="1">
        <v>5300000</v>
      </c>
      <c r="C118" s="1">
        <v>0</v>
      </c>
      <c r="D118" s="1">
        <v>0</v>
      </c>
      <c r="E118" s="1">
        <v>25800000</v>
      </c>
      <c r="F118" s="1">
        <v>40100000</v>
      </c>
      <c r="G118" s="1">
        <v>94600000</v>
      </c>
      <c r="H118" s="1">
        <v>97200000</v>
      </c>
      <c r="I118" s="1">
        <v>28800000</v>
      </c>
      <c r="J118" s="1">
        <v>25700000</v>
      </c>
      <c r="K118" s="1">
        <v>210000000</v>
      </c>
      <c r="L118" s="1">
        <v>0</v>
      </c>
      <c r="M118" s="1">
        <v>388000000</v>
      </c>
      <c r="N118" s="1">
        <v>915000000</v>
      </c>
    </row>
    <row r="119" spans="1:14" x14ac:dyDescent="0.2">
      <c r="A119" t="s">
        <v>742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117000</v>
      </c>
      <c r="H119" s="1">
        <v>0</v>
      </c>
      <c r="I119" s="1">
        <v>0</v>
      </c>
      <c r="J119" s="1">
        <v>0</v>
      </c>
      <c r="K119" s="1">
        <v>29000</v>
      </c>
      <c r="L119" s="1">
        <v>263000000</v>
      </c>
      <c r="M119" s="1">
        <v>133000</v>
      </c>
      <c r="N119" s="1">
        <v>263000000</v>
      </c>
    </row>
    <row r="120" spans="1:14" x14ac:dyDescent="0.2">
      <c r="A120" t="s">
        <v>743</v>
      </c>
      <c r="B120" s="1">
        <v>0</v>
      </c>
      <c r="C120" s="1">
        <v>0</v>
      </c>
      <c r="D120" s="1">
        <v>0</v>
      </c>
      <c r="E120" s="1">
        <v>22200000</v>
      </c>
      <c r="F120" s="1">
        <v>8750000</v>
      </c>
      <c r="G120" s="1">
        <v>10700000</v>
      </c>
      <c r="H120" s="1">
        <v>26600000</v>
      </c>
      <c r="I120" s="1">
        <v>21800000</v>
      </c>
      <c r="J120" s="1">
        <v>38300000</v>
      </c>
      <c r="K120" s="1">
        <v>203000000</v>
      </c>
      <c r="L120" s="1">
        <v>6770000</v>
      </c>
      <c r="M120" s="1">
        <v>111000000</v>
      </c>
      <c r="N120" s="1">
        <v>448000000</v>
      </c>
    </row>
    <row r="121" spans="1:14" x14ac:dyDescent="0.2">
      <c r="A121" t="s">
        <v>744</v>
      </c>
      <c r="B121" s="1">
        <v>0</v>
      </c>
      <c r="C121" s="1">
        <v>0</v>
      </c>
      <c r="D121" s="1">
        <v>0</v>
      </c>
      <c r="E121" s="1">
        <v>36000000</v>
      </c>
      <c r="F121" s="1">
        <v>20600000</v>
      </c>
      <c r="G121" s="1">
        <v>12100000</v>
      </c>
      <c r="H121" s="1">
        <v>138000000</v>
      </c>
      <c r="I121" s="1">
        <v>48600000</v>
      </c>
      <c r="J121" s="1">
        <v>17000000</v>
      </c>
      <c r="K121" s="1">
        <v>86200000</v>
      </c>
      <c r="L121" s="1">
        <v>399000000</v>
      </c>
      <c r="M121" s="1">
        <v>316000000</v>
      </c>
      <c r="N121" s="1">
        <v>1070000000</v>
      </c>
    </row>
    <row r="122" spans="1:14" x14ac:dyDescent="0.2">
      <c r="A122" t="s">
        <v>745</v>
      </c>
      <c r="B122" s="1">
        <v>0</v>
      </c>
      <c r="C122" s="1">
        <v>0</v>
      </c>
      <c r="D122" s="1">
        <v>0</v>
      </c>
      <c r="E122" s="1">
        <v>12500</v>
      </c>
      <c r="F122" s="1">
        <v>0</v>
      </c>
      <c r="G122" s="1">
        <v>60200</v>
      </c>
      <c r="H122" s="1">
        <v>35500</v>
      </c>
      <c r="I122" s="1">
        <v>0</v>
      </c>
      <c r="J122" s="1">
        <v>0</v>
      </c>
      <c r="K122" s="1">
        <v>107000</v>
      </c>
      <c r="L122" s="1">
        <v>39100000</v>
      </c>
      <c r="M122" s="1">
        <v>118000</v>
      </c>
      <c r="N122" s="1">
        <v>39400000</v>
      </c>
    </row>
    <row r="123" spans="1:14" x14ac:dyDescent="0.2">
      <c r="A123" t="s">
        <v>746</v>
      </c>
      <c r="B123" s="1">
        <v>0</v>
      </c>
      <c r="C123" s="1">
        <v>0</v>
      </c>
      <c r="D123" s="1">
        <v>0</v>
      </c>
      <c r="E123" s="1">
        <v>35700</v>
      </c>
      <c r="F123" s="1">
        <v>126000</v>
      </c>
      <c r="G123" s="1">
        <v>559000</v>
      </c>
      <c r="H123" s="1">
        <v>178000</v>
      </c>
      <c r="I123" s="1">
        <v>0</v>
      </c>
      <c r="J123" s="1">
        <v>287000</v>
      </c>
      <c r="K123" s="1">
        <v>220000</v>
      </c>
      <c r="L123" s="1">
        <v>31200000</v>
      </c>
      <c r="M123" s="1">
        <v>2180000</v>
      </c>
      <c r="N123" s="1">
        <v>34800000</v>
      </c>
    </row>
    <row r="124" spans="1:14" x14ac:dyDescent="0.2">
      <c r="A124" t="s">
        <v>747</v>
      </c>
      <c r="B124" s="1">
        <v>351000</v>
      </c>
      <c r="C124" s="1">
        <v>0</v>
      </c>
      <c r="D124" s="1">
        <v>0</v>
      </c>
      <c r="E124" s="1">
        <v>150000</v>
      </c>
      <c r="F124" s="1">
        <v>165000</v>
      </c>
      <c r="G124" s="1">
        <v>377000</v>
      </c>
      <c r="H124" s="1">
        <v>921000</v>
      </c>
      <c r="I124" s="1">
        <v>755000</v>
      </c>
      <c r="J124" s="1">
        <v>294000</v>
      </c>
      <c r="K124" s="1">
        <v>0</v>
      </c>
      <c r="L124" s="1">
        <v>0</v>
      </c>
      <c r="M124" s="1">
        <v>2580000</v>
      </c>
      <c r="N124" s="1">
        <v>5590000</v>
      </c>
    </row>
    <row r="125" spans="1:14" x14ac:dyDescent="0.2">
      <c r="A125" t="s">
        <v>748</v>
      </c>
      <c r="B125" s="1">
        <v>173000000</v>
      </c>
      <c r="C125" s="1">
        <v>0</v>
      </c>
      <c r="D125" s="1">
        <v>0</v>
      </c>
      <c r="E125" s="1">
        <v>0</v>
      </c>
      <c r="F125" s="1">
        <v>641000</v>
      </c>
      <c r="G125" s="1">
        <v>1030000</v>
      </c>
      <c r="H125" s="1">
        <v>351000</v>
      </c>
      <c r="I125" s="1">
        <v>0</v>
      </c>
      <c r="J125" s="1">
        <v>275000</v>
      </c>
      <c r="K125" s="1">
        <v>0</v>
      </c>
      <c r="L125" s="1">
        <v>87100000</v>
      </c>
      <c r="M125" s="1">
        <v>6800000</v>
      </c>
      <c r="N125" s="1">
        <v>270000000</v>
      </c>
    </row>
    <row r="126" spans="1:14" x14ac:dyDescent="0.2">
      <c r="A126" t="s">
        <v>749</v>
      </c>
      <c r="B126" s="1">
        <v>7040000</v>
      </c>
      <c r="C126" s="1">
        <v>0</v>
      </c>
      <c r="D126" s="1">
        <v>0</v>
      </c>
      <c r="E126" s="1">
        <v>315000</v>
      </c>
      <c r="F126" s="1">
        <v>0</v>
      </c>
      <c r="G126" s="1">
        <v>2270000</v>
      </c>
      <c r="H126" s="1">
        <v>916000</v>
      </c>
      <c r="I126" s="1">
        <v>0</v>
      </c>
      <c r="J126" s="1">
        <v>1870000</v>
      </c>
      <c r="K126" s="1">
        <v>0</v>
      </c>
      <c r="L126" s="1">
        <v>0</v>
      </c>
      <c r="M126" s="1">
        <v>42600000</v>
      </c>
      <c r="N126" s="1">
        <v>55000000</v>
      </c>
    </row>
    <row r="127" spans="1:14" x14ac:dyDescent="0.2">
      <c r="A127" t="s">
        <v>750</v>
      </c>
      <c r="B127" s="1">
        <v>11300000</v>
      </c>
      <c r="C127" s="1">
        <v>3840000</v>
      </c>
      <c r="D127" s="1">
        <v>0</v>
      </c>
      <c r="E127" s="1">
        <v>230000000</v>
      </c>
      <c r="F127" s="1">
        <v>68000000</v>
      </c>
      <c r="G127" s="1">
        <v>39400000</v>
      </c>
      <c r="H127" s="1">
        <v>241000000</v>
      </c>
      <c r="I127" s="1">
        <v>156000000</v>
      </c>
      <c r="J127" s="1">
        <v>81400000</v>
      </c>
      <c r="K127" s="1">
        <v>0</v>
      </c>
      <c r="L127" s="1">
        <v>0</v>
      </c>
      <c r="M127" s="1">
        <v>817000000</v>
      </c>
      <c r="N127" s="1">
        <v>1650000000</v>
      </c>
    </row>
    <row r="128" spans="1:14" x14ac:dyDescent="0.2">
      <c r="A128" t="s">
        <v>751</v>
      </c>
      <c r="B128" s="1">
        <v>1410000</v>
      </c>
      <c r="C128" s="1">
        <v>0</v>
      </c>
      <c r="D128" s="1">
        <v>0</v>
      </c>
      <c r="E128" s="1">
        <v>1210000</v>
      </c>
      <c r="F128" s="1">
        <v>508000</v>
      </c>
      <c r="G128" s="1">
        <v>1740000</v>
      </c>
      <c r="H128" s="1">
        <v>1920000</v>
      </c>
      <c r="I128" s="1">
        <v>345000</v>
      </c>
      <c r="J128" s="1">
        <v>1230000</v>
      </c>
      <c r="K128" s="1">
        <v>0</v>
      </c>
      <c r="L128" s="1">
        <v>0</v>
      </c>
      <c r="M128" s="1">
        <v>23800000</v>
      </c>
      <c r="N128" s="1">
        <v>32200000</v>
      </c>
    </row>
    <row r="129" spans="1:14" x14ac:dyDescent="0.2">
      <c r="A129" t="s">
        <v>752</v>
      </c>
      <c r="B129" s="1">
        <v>51700000</v>
      </c>
      <c r="C129" s="1">
        <v>0</v>
      </c>
      <c r="D129" s="1">
        <v>0</v>
      </c>
      <c r="E129" s="1">
        <v>522000</v>
      </c>
      <c r="F129" s="1">
        <v>0</v>
      </c>
      <c r="G129" s="1">
        <v>4880000</v>
      </c>
      <c r="H129" s="1">
        <v>767000</v>
      </c>
      <c r="I129" s="1">
        <v>0</v>
      </c>
      <c r="J129" s="1">
        <v>0</v>
      </c>
      <c r="K129" s="1">
        <v>6740000</v>
      </c>
      <c r="L129" s="1">
        <v>2180000000</v>
      </c>
      <c r="M129" s="1">
        <v>0</v>
      </c>
      <c r="N129" s="1">
        <v>2240000000</v>
      </c>
    </row>
    <row r="130" spans="1:14" x14ac:dyDescent="0.2">
      <c r="A130" t="s">
        <v>753</v>
      </c>
      <c r="B130" s="1">
        <v>27000000</v>
      </c>
      <c r="C130" s="1">
        <v>0</v>
      </c>
      <c r="D130" s="1">
        <v>0</v>
      </c>
      <c r="E130" s="1">
        <v>63400000</v>
      </c>
      <c r="F130" s="1">
        <v>0</v>
      </c>
      <c r="G130" s="1">
        <v>54400000</v>
      </c>
      <c r="H130" s="1">
        <v>82500000</v>
      </c>
      <c r="I130" s="1">
        <v>19800000</v>
      </c>
      <c r="J130" s="1">
        <v>0</v>
      </c>
      <c r="K130" s="1">
        <v>197000000</v>
      </c>
      <c r="L130" s="1">
        <v>118000000</v>
      </c>
      <c r="M130" s="1">
        <v>0</v>
      </c>
      <c r="N130" s="1">
        <v>562000000</v>
      </c>
    </row>
    <row r="131" spans="1:14" x14ac:dyDescent="0.2">
      <c r="A131" t="s">
        <v>754</v>
      </c>
      <c r="B131" s="1">
        <v>0</v>
      </c>
      <c r="C131" s="1">
        <v>0</v>
      </c>
      <c r="D131" s="1">
        <v>0</v>
      </c>
      <c r="E131" s="1">
        <v>121000</v>
      </c>
      <c r="F131" s="1">
        <v>0</v>
      </c>
      <c r="G131" s="1">
        <v>319000</v>
      </c>
      <c r="H131" s="1">
        <v>0</v>
      </c>
      <c r="I131" s="1">
        <v>0</v>
      </c>
      <c r="J131" s="1">
        <v>0</v>
      </c>
      <c r="K131" s="1">
        <v>318000</v>
      </c>
      <c r="L131" s="1">
        <v>88300000</v>
      </c>
      <c r="M131" s="1">
        <v>0</v>
      </c>
      <c r="N131" s="1">
        <v>89000000</v>
      </c>
    </row>
    <row r="132" spans="1:14" x14ac:dyDescent="0.2">
      <c r="A132" t="s">
        <v>755</v>
      </c>
      <c r="B132" s="1">
        <v>891000</v>
      </c>
      <c r="C132" s="1">
        <v>0</v>
      </c>
      <c r="D132" s="1">
        <v>0</v>
      </c>
      <c r="E132" s="1">
        <v>70000</v>
      </c>
      <c r="F132" s="1">
        <v>0</v>
      </c>
      <c r="G132" s="1">
        <v>894000</v>
      </c>
      <c r="H132" s="1">
        <v>177000</v>
      </c>
      <c r="I132" s="1">
        <v>0</v>
      </c>
      <c r="J132" s="1">
        <v>0</v>
      </c>
      <c r="K132" s="1">
        <v>755000</v>
      </c>
      <c r="L132" s="1">
        <v>775000000</v>
      </c>
      <c r="M132" s="1">
        <v>0</v>
      </c>
      <c r="N132" s="1">
        <v>778000000</v>
      </c>
    </row>
    <row r="133" spans="1:14" x14ac:dyDescent="0.2">
      <c r="A133" t="s">
        <v>756</v>
      </c>
      <c r="B133" s="1">
        <v>1080000</v>
      </c>
      <c r="C133" s="1">
        <v>0</v>
      </c>
      <c r="D133" s="1">
        <v>0</v>
      </c>
      <c r="E133" s="1">
        <v>1230000</v>
      </c>
      <c r="F133" s="1">
        <v>776000</v>
      </c>
      <c r="G133" s="1">
        <v>4670000</v>
      </c>
      <c r="H133" s="1">
        <v>3850000</v>
      </c>
      <c r="I133" s="1">
        <v>1900000</v>
      </c>
      <c r="J133" s="1">
        <v>813000</v>
      </c>
      <c r="K133" s="1">
        <v>12900000</v>
      </c>
      <c r="L133" s="1">
        <v>380000000</v>
      </c>
      <c r="M133" s="1">
        <v>14900000</v>
      </c>
      <c r="N133" s="1">
        <v>422000000</v>
      </c>
    </row>
    <row r="134" spans="1:14" x14ac:dyDescent="0.2">
      <c r="A134" t="s">
        <v>757</v>
      </c>
      <c r="B134" s="1">
        <v>0</v>
      </c>
      <c r="C134" s="1">
        <v>0</v>
      </c>
      <c r="D134" s="1">
        <v>0</v>
      </c>
      <c r="E134" s="1">
        <v>6910000</v>
      </c>
      <c r="F134" s="1">
        <v>3940000</v>
      </c>
      <c r="G134" s="1">
        <v>34100000</v>
      </c>
      <c r="H134" s="1">
        <v>18800000</v>
      </c>
      <c r="I134" s="1">
        <v>7620000</v>
      </c>
      <c r="J134" s="1">
        <v>7470000</v>
      </c>
      <c r="K134" s="1">
        <v>26500000</v>
      </c>
      <c r="L134" s="1">
        <v>579000000</v>
      </c>
      <c r="M134" s="1">
        <v>68200000</v>
      </c>
      <c r="N134" s="1">
        <v>752000000</v>
      </c>
    </row>
    <row r="135" spans="1:14" x14ac:dyDescent="0.2">
      <c r="A135" t="s">
        <v>758</v>
      </c>
      <c r="B135" s="1">
        <v>0</v>
      </c>
      <c r="C135" s="1">
        <v>0</v>
      </c>
      <c r="D135" s="1">
        <v>0</v>
      </c>
      <c r="E135" s="1">
        <v>208000</v>
      </c>
      <c r="F135" s="1">
        <v>0</v>
      </c>
      <c r="G135" s="1">
        <v>747000</v>
      </c>
      <c r="H135" s="1">
        <v>442000</v>
      </c>
      <c r="I135" s="1">
        <v>0</v>
      </c>
      <c r="J135" s="1">
        <v>194000</v>
      </c>
      <c r="K135" s="1">
        <v>564000</v>
      </c>
      <c r="L135" s="1">
        <v>264000000</v>
      </c>
      <c r="M135" s="1">
        <v>1850000</v>
      </c>
      <c r="N135" s="1">
        <v>268000000</v>
      </c>
    </row>
    <row r="136" spans="1:14" x14ac:dyDescent="0.2">
      <c r="A136" t="s">
        <v>759</v>
      </c>
      <c r="B136" s="1">
        <v>0</v>
      </c>
      <c r="C136" s="1">
        <v>0</v>
      </c>
      <c r="D136" s="1">
        <v>0</v>
      </c>
      <c r="E136" s="1">
        <v>15300000</v>
      </c>
      <c r="F136" s="1">
        <v>7370000</v>
      </c>
      <c r="G136" s="1">
        <v>18000000</v>
      </c>
      <c r="H136" s="1">
        <v>23800000</v>
      </c>
      <c r="I136" s="1">
        <v>15700000</v>
      </c>
      <c r="J136" s="1">
        <v>17200000</v>
      </c>
      <c r="K136" s="1">
        <v>38700000</v>
      </c>
      <c r="L136" s="1">
        <v>21300000</v>
      </c>
      <c r="M136" s="1">
        <v>37100000</v>
      </c>
      <c r="N136" s="1">
        <v>195000000</v>
      </c>
    </row>
    <row r="137" spans="1:14" x14ac:dyDescent="0.2">
      <c r="A137" t="s">
        <v>760</v>
      </c>
      <c r="B137" s="1">
        <v>0</v>
      </c>
      <c r="C137" s="1">
        <v>0</v>
      </c>
      <c r="D137" s="1">
        <v>0</v>
      </c>
      <c r="E137" s="1">
        <v>2020000</v>
      </c>
      <c r="F137" s="1">
        <v>0</v>
      </c>
      <c r="G137" s="1">
        <v>2570000</v>
      </c>
      <c r="H137" s="1">
        <v>2090000</v>
      </c>
      <c r="I137" s="1">
        <v>2490000</v>
      </c>
      <c r="J137" s="1">
        <v>607000</v>
      </c>
      <c r="K137" s="1">
        <v>4470000</v>
      </c>
      <c r="L137" s="1">
        <v>0</v>
      </c>
      <c r="M137" s="1">
        <v>5600000</v>
      </c>
      <c r="N137" s="1">
        <v>19900000</v>
      </c>
    </row>
    <row r="138" spans="1:14" x14ac:dyDescent="0.2">
      <c r="A138" t="s">
        <v>761</v>
      </c>
      <c r="B138" s="1">
        <v>0</v>
      </c>
      <c r="C138" s="1">
        <v>0</v>
      </c>
      <c r="D138" s="1">
        <v>0</v>
      </c>
      <c r="E138" s="1">
        <v>323000</v>
      </c>
      <c r="F138" s="1">
        <v>3150000</v>
      </c>
      <c r="G138" s="1">
        <v>6010000</v>
      </c>
      <c r="H138" s="1">
        <v>1670000</v>
      </c>
      <c r="I138" s="1">
        <v>0</v>
      </c>
      <c r="J138" s="1">
        <v>1930000</v>
      </c>
      <c r="K138" s="1">
        <v>2390000</v>
      </c>
      <c r="L138" s="1">
        <v>4830000000</v>
      </c>
      <c r="M138" s="1">
        <v>17300000</v>
      </c>
      <c r="N138" s="1">
        <v>4870000000</v>
      </c>
    </row>
    <row r="139" spans="1:14" x14ac:dyDescent="0.2">
      <c r="A139" t="s">
        <v>762</v>
      </c>
      <c r="B139" s="1">
        <v>0</v>
      </c>
      <c r="C139" s="1">
        <v>0</v>
      </c>
      <c r="D139" s="1">
        <v>0</v>
      </c>
      <c r="E139" s="1">
        <v>8920000</v>
      </c>
      <c r="F139" s="1">
        <v>3020000</v>
      </c>
      <c r="G139" s="1">
        <v>16500000</v>
      </c>
      <c r="H139" s="1">
        <v>18900000</v>
      </c>
      <c r="I139" s="1">
        <v>15500000</v>
      </c>
      <c r="J139" s="1">
        <v>17400000</v>
      </c>
      <c r="K139" s="1">
        <v>25800000</v>
      </c>
      <c r="L139" s="1">
        <v>0</v>
      </c>
      <c r="M139" s="1">
        <v>82300000</v>
      </c>
      <c r="N139" s="1">
        <v>188000000</v>
      </c>
    </row>
    <row r="140" spans="1:14" x14ac:dyDescent="0.2">
      <c r="A140" t="s">
        <v>763</v>
      </c>
      <c r="B140" s="1">
        <v>0</v>
      </c>
      <c r="C140" s="1">
        <v>0</v>
      </c>
      <c r="D140" s="1">
        <v>0</v>
      </c>
      <c r="E140" s="1">
        <v>24600000</v>
      </c>
      <c r="F140" s="1">
        <v>9790000</v>
      </c>
      <c r="G140" s="1">
        <v>13800000</v>
      </c>
      <c r="H140" s="1">
        <v>64200000</v>
      </c>
      <c r="I140" s="1">
        <v>44800000</v>
      </c>
      <c r="J140" s="1">
        <v>10500000</v>
      </c>
      <c r="K140" s="1">
        <v>69300000</v>
      </c>
      <c r="L140" s="1">
        <v>369000000</v>
      </c>
      <c r="M140" s="1">
        <v>84500000</v>
      </c>
      <c r="N140" s="1">
        <v>690000000</v>
      </c>
    </row>
    <row r="141" spans="1:14" x14ac:dyDescent="0.2">
      <c r="A141" t="s">
        <v>764</v>
      </c>
      <c r="B141" s="1">
        <v>0</v>
      </c>
      <c r="C141" s="1">
        <v>0</v>
      </c>
      <c r="D141" s="1">
        <v>0</v>
      </c>
      <c r="E141" s="1">
        <v>11700000</v>
      </c>
      <c r="F141" s="1">
        <v>18400000</v>
      </c>
      <c r="G141" s="1">
        <v>59900000</v>
      </c>
      <c r="H141" s="1">
        <v>36800000</v>
      </c>
      <c r="I141" s="1">
        <v>11500000</v>
      </c>
      <c r="J141" s="1">
        <v>12800000</v>
      </c>
      <c r="K141" s="1">
        <v>93900000</v>
      </c>
      <c r="L141" s="1">
        <v>3520000000</v>
      </c>
      <c r="M141" s="1">
        <v>222000000</v>
      </c>
      <c r="N141" s="1">
        <v>3990000000</v>
      </c>
    </row>
    <row r="142" spans="1:14" x14ac:dyDescent="0.2">
      <c r="A142" t="s">
        <v>765</v>
      </c>
      <c r="B142" s="1">
        <v>0</v>
      </c>
      <c r="C142" s="1">
        <v>0</v>
      </c>
      <c r="D142" s="1">
        <v>0</v>
      </c>
      <c r="E142" s="1">
        <v>949000</v>
      </c>
      <c r="F142" s="1">
        <v>9860000</v>
      </c>
      <c r="G142" s="1">
        <v>5150000</v>
      </c>
      <c r="H142" s="1">
        <v>1290000</v>
      </c>
      <c r="I142" s="1">
        <v>1010000</v>
      </c>
      <c r="J142" s="1">
        <v>3140000</v>
      </c>
      <c r="K142" s="1">
        <v>12400000</v>
      </c>
      <c r="L142" s="1">
        <v>42500000</v>
      </c>
      <c r="M142" s="1">
        <v>18500000</v>
      </c>
      <c r="N142" s="1">
        <v>94700000</v>
      </c>
    </row>
    <row r="143" spans="1:14" x14ac:dyDescent="0.2">
      <c r="A143" t="s">
        <v>766</v>
      </c>
      <c r="B143" s="1">
        <v>2710000</v>
      </c>
      <c r="C143" s="1">
        <v>0</v>
      </c>
      <c r="D143" s="1">
        <v>0</v>
      </c>
      <c r="E143" s="1">
        <v>1630000</v>
      </c>
      <c r="F143" s="1">
        <v>909000</v>
      </c>
      <c r="G143" s="1">
        <v>4700000</v>
      </c>
      <c r="H143" s="1">
        <v>2740000</v>
      </c>
      <c r="I143" s="1">
        <v>6040000</v>
      </c>
      <c r="J143" s="1">
        <v>994000</v>
      </c>
      <c r="K143" s="1">
        <v>0</v>
      </c>
      <c r="L143" s="1">
        <v>0</v>
      </c>
      <c r="M143" s="1">
        <v>15000000</v>
      </c>
      <c r="N143" s="1">
        <v>34700000</v>
      </c>
    </row>
    <row r="144" spans="1:14" x14ac:dyDescent="0.2">
      <c r="A144" t="s">
        <v>767</v>
      </c>
      <c r="B144" s="1">
        <v>1120000</v>
      </c>
      <c r="C144" s="1">
        <v>0</v>
      </c>
      <c r="D144" s="1">
        <v>0</v>
      </c>
      <c r="E144" s="1">
        <v>459000</v>
      </c>
      <c r="F144" s="1">
        <v>696000</v>
      </c>
      <c r="G144" s="1">
        <v>1980000</v>
      </c>
      <c r="H144" s="1">
        <v>1200000</v>
      </c>
      <c r="I144" s="1">
        <v>0</v>
      </c>
      <c r="J144" s="1">
        <v>0</v>
      </c>
      <c r="K144" s="1">
        <v>0</v>
      </c>
      <c r="L144" s="1">
        <v>0</v>
      </c>
      <c r="M144" s="1">
        <v>4900000</v>
      </c>
      <c r="N144" s="1">
        <v>10400000</v>
      </c>
    </row>
    <row r="145" spans="1:14" x14ac:dyDescent="0.2">
      <c r="A145" t="s">
        <v>768</v>
      </c>
      <c r="B145" s="1">
        <v>0</v>
      </c>
      <c r="C145" s="1">
        <v>0</v>
      </c>
      <c r="D145" s="1">
        <v>0</v>
      </c>
      <c r="E145" s="1">
        <v>17000000</v>
      </c>
      <c r="F145" s="1">
        <v>8360000</v>
      </c>
      <c r="G145" s="1">
        <v>27300000</v>
      </c>
      <c r="H145" s="1">
        <v>41100000</v>
      </c>
      <c r="I145" s="1">
        <v>63100000</v>
      </c>
      <c r="J145" s="1">
        <v>14800000</v>
      </c>
      <c r="K145" s="1">
        <v>0</v>
      </c>
      <c r="L145" s="1">
        <v>0</v>
      </c>
      <c r="M145" s="1">
        <v>120000000</v>
      </c>
      <c r="N145" s="1">
        <v>292000000</v>
      </c>
    </row>
    <row r="146" spans="1:14" x14ac:dyDescent="0.2">
      <c r="A146" t="s">
        <v>769</v>
      </c>
      <c r="B146" s="1">
        <v>5520000</v>
      </c>
      <c r="C146" s="1">
        <v>4670000</v>
      </c>
      <c r="D146" s="1">
        <v>0</v>
      </c>
      <c r="E146" s="1">
        <v>176000000</v>
      </c>
      <c r="F146" s="1">
        <v>21100000</v>
      </c>
      <c r="G146" s="1">
        <v>30400000</v>
      </c>
      <c r="H146" s="1">
        <v>191000000</v>
      </c>
      <c r="I146" s="1">
        <v>163000000</v>
      </c>
      <c r="J146" s="1">
        <v>28400000</v>
      </c>
      <c r="K146" s="1">
        <v>0</v>
      </c>
      <c r="L146" s="1">
        <v>0</v>
      </c>
      <c r="M146" s="1">
        <v>510000000</v>
      </c>
      <c r="N146" s="1">
        <v>1130000000</v>
      </c>
    </row>
    <row r="147" spans="1:14" x14ac:dyDescent="0.2">
      <c r="A147" t="s">
        <v>770</v>
      </c>
      <c r="B147" s="1">
        <v>1410000</v>
      </c>
      <c r="C147" s="1">
        <v>0</v>
      </c>
      <c r="D147" s="1">
        <v>0</v>
      </c>
      <c r="E147" s="1">
        <v>4380000</v>
      </c>
      <c r="F147" s="1">
        <v>2240000</v>
      </c>
      <c r="G147" s="1">
        <v>4820000</v>
      </c>
      <c r="H147" s="1">
        <v>5290000</v>
      </c>
      <c r="I147" s="1">
        <v>1420000</v>
      </c>
      <c r="J147" s="1">
        <v>1670000</v>
      </c>
      <c r="K147" s="1">
        <v>0</v>
      </c>
      <c r="L147" s="1">
        <v>0</v>
      </c>
      <c r="M147" s="1">
        <v>34900000</v>
      </c>
      <c r="N147" s="1">
        <v>56200000</v>
      </c>
    </row>
    <row r="148" spans="1:14" x14ac:dyDescent="0.2">
      <c r="A148" t="s">
        <v>771</v>
      </c>
      <c r="B148" s="1">
        <v>3470000</v>
      </c>
      <c r="C148" s="1">
        <v>0</v>
      </c>
      <c r="D148" s="1">
        <v>0</v>
      </c>
      <c r="E148" s="1">
        <v>238000</v>
      </c>
      <c r="F148" s="1">
        <v>0</v>
      </c>
      <c r="G148" s="1">
        <v>877000</v>
      </c>
      <c r="H148" s="1">
        <v>0</v>
      </c>
      <c r="I148" s="1">
        <v>0</v>
      </c>
      <c r="J148" s="1">
        <v>0</v>
      </c>
      <c r="K148" s="1">
        <v>940000</v>
      </c>
      <c r="L148" s="1">
        <v>589000000</v>
      </c>
      <c r="M148" s="1">
        <v>0</v>
      </c>
      <c r="N148" s="1">
        <v>594000000</v>
      </c>
    </row>
    <row r="149" spans="1:14" x14ac:dyDescent="0.2">
      <c r="A149" t="s">
        <v>772</v>
      </c>
      <c r="B149" s="1">
        <v>9800000</v>
      </c>
      <c r="C149" s="1">
        <v>0</v>
      </c>
      <c r="D149" s="1">
        <v>0</v>
      </c>
      <c r="E149" s="1">
        <v>50000000</v>
      </c>
      <c r="F149" s="1">
        <v>0</v>
      </c>
      <c r="G149" s="1">
        <v>9030000</v>
      </c>
      <c r="H149" s="1">
        <v>27700000</v>
      </c>
      <c r="I149" s="1">
        <v>15900000</v>
      </c>
      <c r="J149" s="1">
        <v>0</v>
      </c>
      <c r="K149" s="1">
        <v>33400000</v>
      </c>
      <c r="L149" s="1">
        <v>1010000000</v>
      </c>
      <c r="M149" s="1">
        <v>0</v>
      </c>
      <c r="N149" s="1">
        <v>1150000000</v>
      </c>
    </row>
    <row r="150" spans="1:14" x14ac:dyDescent="0.2">
      <c r="A150" t="s">
        <v>773</v>
      </c>
      <c r="B150" s="1">
        <v>3970000</v>
      </c>
      <c r="C150" s="1">
        <v>0</v>
      </c>
      <c r="D150" s="1">
        <v>0</v>
      </c>
      <c r="E150" s="1">
        <v>16400000</v>
      </c>
      <c r="F150" s="1">
        <v>0</v>
      </c>
      <c r="G150" s="1">
        <v>200000000</v>
      </c>
      <c r="H150" s="1">
        <v>28500000</v>
      </c>
      <c r="I150" s="1">
        <v>0</v>
      </c>
      <c r="J150" s="1">
        <v>0</v>
      </c>
      <c r="K150" s="1">
        <v>67000000</v>
      </c>
      <c r="L150" s="1">
        <v>4260000000</v>
      </c>
      <c r="M150" s="1">
        <v>0</v>
      </c>
      <c r="N150" s="1">
        <v>4570000000</v>
      </c>
    </row>
    <row r="151" spans="1:14" x14ac:dyDescent="0.2">
      <c r="A151" t="s">
        <v>774</v>
      </c>
      <c r="B151" s="1">
        <v>21900000</v>
      </c>
      <c r="C151" s="1">
        <v>0</v>
      </c>
      <c r="D151" s="1">
        <v>0</v>
      </c>
      <c r="E151" s="1">
        <v>11900000</v>
      </c>
      <c r="F151" s="1">
        <v>0</v>
      </c>
      <c r="G151" s="1">
        <v>78000000</v>
      </c>
      <c r="H151" s="1">
        <v>17900000</v>
      </c>
      <c r="I151" s="1">
        <v>10600000</v>
      </c>
      <c r="J151" s="1">
        <v>0</v>
      </c>
      <c r="K151" s="1">
        <v>126000000</v>
      </c>
      <c r="L151" s="1">
        <v>659000000</v>
      </c>
      <c r="M151" s="1">
        <v>0</v>
      </c>
      <c r="N151" s="1">
        <v>926000000</v>
      </c>
    </row>
    <row r="152" spans="1:14" x14ac:dyDescent="0.2">
      <c r="A152" t="s">
        <v>775</v>
      </c>
      <c r="B152" s="1">
        <v>0</v>
      </c>
      <c r="C152" s="1">
        <v>140000000</v>
      </c>
      <c r="D152" s="1">
        <v>0</v>
      </c>
      <c r="E152" s="1">
        <v>3380000000</v>
      </c>
      <c r="F152" s="1">
        <v>0</v>
      </c>
      <c r="G152" s="1">
        <v>6380000000</v>
      </c>
      <c r="H152" s="1">
        <v>14800000000</v>
      </c>
      <c r="I152" s="1">
        <v>3710000000</v>
      </c>
      <c r="J152" s="1">
        <v>0</v>
      </c>
      <c r="K152" s="1">
        <v>39400000000</v>
      </c>
      <c r="L152" s="1">
        <v>366000000</v>
      </c>
      <c r="M152" s="1">
        <v>0</v>
      </c>
      <c r="N152" s="1">
        <v>68200000000</v>
      </c>
    </row>
    <row r="153" spans="1:14" x14ac:dyDescent="0.2">
      <c r="A153" t="s">
        <v>776</v>
      </c>
      <c r="B153" s="1">
        <v>0</v>
      </c>
      <c r="C153" s="1">
        <v>37400000</v>
      </c>
      <c r="D153" s="1">
        <v>0</v>
      </c>
      <c r="E153" s="1">
        <v>1690000000</v>
      </c>
      <c r="F153" s="1">
        <v>0</v>
      </c>
      <c r="G153" s="1">
        <v>516000000</v>
      </c>
      <c r="H153" s="1">
        <v>1850000000</v>
      </c>
      <c r="I153" s="1">
        <v>459000000</v>
      </c>
      <c r="J153" s="1">
        <v>200000000</v>
      </c>
      <c r="K153" s="1">
        <v>30400000000</v>
      </c>
      <c r="L153" s="1">
        <v>253000000</v>
      </c>
      <c r="M153" s="1">
        <v>0</v>
      </c>
      <c r="N153" s="1">
        <v>35400000000</v>
      </c>
    </row>
    <row r="154" spans="1:14" x14ac:dyDescent="0.2">
      <c r="A154" t="s">
        <v>777</v>
      </c>
      <c r="B154" s="1">
        <v>0</v>
      </c>
      <c r="C154" s="1">
        <v>54000000</v>
      </c>
      <c r="D154" s="1">
        <v>0</v>
      </c>
      <c r="E154" s="1">
        <v>2080000000</v>
      </c>
      <c r="F154" s="1">
        <v>0</v>
      </c>
      <c r="G154" s="1">
        <v>1200000000</v>
      </c>
      <c r="H154" s="1">
        <v>1450000000</v>
      </c>
      <c r="I154" s="1">
        <v>352000000</v>
      </c>
      <c r="J154" s="1">
        <v>65400000</v>
      </c>
      <c r="K154" s="1">
        <v>23600000000</v>
      </c>
      <c r="L154" s="1">
        <v>142000000</v>
      </c>
      <c r="M154" s="1">
        <v>0</v>
      </c>
      <c r="N154" s="1">
        <v>29000000000</v>
      </c>
    </row>
    <row r="155" spans="1:14" x14ac:dyDescent="0.2">
      <c r="A155" t="s">
        <v>778</v>
      </c>
      <c r="B155" s="1">
        <v>12700000</v>
      </c>
      <c r="C155" s="1">
        <v>0</v>
      </c>
      <c r="D155" s="1">
        <v>0</v>
      </c>
      <c r="E155" s="1">
        <v>1550000000</v>
      </c>
      <c r="F155" s="1">
        <v>0</v>
      </c>
      <c r="G155" s="1">
        <v>1640000000</v>
      </c>
      <c r="H155" s="1">
        <v>1860000000</v>
      </c>
      <c r="I155" s="1">
        <v>275000000</v>
      </c>
      <c r="J155" s="1">
        <v>0</v>
      </c>
      <c r="K155" s="1">
        <v>11200000000</v>
      </c>
      <c r="L155" s="1">
        <v>0</v>
      </c>
      <c r="M155" s="1">
        <v>0</v>
      </c>
      <c r="N155" s="1">
        <v>16500000000</v>
      </c>
    </row>
    <row r="156" spans="1:14" x14ac:dyDescent="0.2">
      <c r="A156" t="s">
        <v>779</v>
      </c>
      <c r="B156" s="1">
        <v>15800000</v>
      </c>
      <c r="C156" s="1">
        <v>0</v>
      </c>
      <c r="D156" s="1">
        <v>0</v>
      </c>
      <c r="E156" s="1">
        <v>2560000000</v>
      </c>
      <c r="F156" s="1">
        <v>0</v>
      </c>
      <c r="G156" s="1">
        <v>1580000000</v>
      </c>
      <c r="H156" s="1">
        <v>2080000000</v>
      </c>
      <c r="I156" s="1">
        <v>610000000</v>
      </c>
      <c r="J156" s="1">
        <v>0</v>
      </c>
      <c r="K156" s="1">
        <v>14800000000</v>
      </c>
      <c r="L156" s="1">
        <v>1360000000</v>
      </c>
      <c r="M156" s="1">
        <v>0</v>
      </c>
      <c r="N156" s="1">
        <v>23000000000</v>
      </c>
    </row>
    <row r="157" spans="1:14" x14ac:dyDescent="0.2">
      <c r="A157" t="s">
        <v>780</v>
      </c>
      <c r="B157" s="1">
        <v>11100000</v>
      </c>
      <c r="C157" s="1">
        <v>0</v>
      </c>
      <c r="D157" s="1">
        <v>0</v>
      </c>
      <c r="E157" s="1">
        <v>1200000000</v>
      </c>
      <c r="F157" s="1">
        <v>0</v>
      </c>
      <c r="G157" s="1">
        <v>847000000</v>
      </c>
      <c r="H157" s="1">
        <v>614000000</v>
      </c>
      <c r="I157" s="1">
        <v>173000000</v>
      </c>
      <c r="J157" s="1">
        <v>0</v>
      </c>
      <c r="K157" s="1">
        <v>8440000000</v>
      </c>
      <c r="L157" s="1">
        <v>0</v>
      </c>
      <c r="M157" s="1">
        <v>0</v>
      </c>
      <c r="N157" s="1">
        <v>11300000000</v>
      </c>
    </row>
    <row r="158" spans="1:14" x14ac:dyDescent="0.2">
      <c r="A158" t="s">
        <v>781</v>
      </c>
      <c r="B158" s="1">
        <v>0</v>
      </c>
      <c r="C158" s="1">
        <v>32600000</v>
      </c>
      <c r="D158" s="1">
        <v>0</v>
      </c>
      <c r="E158" s="1">
        <v>1960000000</v>
      </c>
      <c r="F158" s="1">
        <v>0</v>
      </c>
      <c r="G158" s="1">
        <v>4140000000</v>
      </c>
      <c r="H158" s="1">
        <v>1740000000</v>
      </c>
      <c r="I158" s="1">
        <v>494000000</v>
      </c>
      <c r="J158" s="1">
        <v>10400000</v>
      </c>
      <c r="K158" s="1">
        <v>15300000000</v>
      </c>
      <c r="L158" s="1">
        <v>0</v>
      </c>
      <c r="M158" s="1">
        <v>0</v>
      </c>
      <c r="N158" s="1">
        <v>23700000000</v>
      </c>
    </row>
    <row r="159" spans="1:14" x14ac:dyDescent="0.2">
      <c r="A159" t="s">
        <v>782</v>
      </c>
      <c r="B159" s="1">
        <v>0</v>
      </c>
      <c r="C159" s="1">
        <v>54200000</v>
      </c>
      <c r="D159" s="1">
        <v>0</v>
      </c>
      <c r="E159" s="1">
        <v>2250000000</v>
      </c>
      <c r="F159" s="1">
        <v>0</v>
      </c>
      <c r="G159" s="1">
        <v>822000000</v>
      </c>
      <c r="H159" s="1">
        <v>2080000000</v>
      </c>
      <c r="I159" s="1">
        <v>368000000</v>
      </c>
      <c r="J159" s="1">
        <v>435000000</v>
      </c>
      <c r="K159" s="1">
        <v>37200000000</v>
      </c>
      <c r="L159" s="1">
        <v>275000000</v>
      </c>
      <c r="M159" s="1">
        <v>0</v>
      </c>
      <c r="N159" s="1">
        <v>43500000000</v>
      </c>
    </row>
    <row r="160" spans="1:14" x14ac:dyDescent="0.2">
      <c r="A160" t="s">
        <v>783</v>
      </c>
      <c r="B160" s="1">
        <v>20400000</v>
      </c>
      <c r="C160" s="1">
        <v>0</v>
      </c>
      <c r="D160" s="1">
        <v>0</v>
      </c>
      <c r="E160" s="1">
        <v>1880000000</v>
      </c>
      <c r="F160" s="1">
        <v>0</v>
      </c>
      <c r="G160" s="1">
        <v>570000000</v>
      </c>
      <c r="H160" s="1">
        <v>713000000</v>
      </c>
      <c r="I160" s="1">
        <v>307000000</v>
      </c>
      <c r="J160" s="1">
        <v>0</v>
      </c>
      <c r="K160" s="1">
        <v>10400000000</v>
      </c>
      <c r="L160" s="1">
        <v>36300000</v>
      </c>
      <c r="M160" s="1">
        <v>0</v>
      </c>
      <c r="N160" s="1">
        <v>13900000000</v>
      </c>
    </row>
    <row r="161" spans="1:14" x14ac:dyDescent="0.2">
      <c r="A161" t="s">
        <v>784</v>
      </c>
      <c r="B161" s="1">
        <v>0</v>
      </c>
      <c r="C161" s="1">
        <v>167000000</v>
      </c>
      <c r="D161" s="1">
        <v>0</v>
      </c>
      <c r="E161" s="1">
        <v>3560000000</v>
      </c>
      <c r="F161" s="1">
        <v>0</v>
      </c>
      <c r="G161" s="1">
        <v>2430000000</v>
      </c>
      <c r="H161" s="1">
        <v>3600000000</v>
      </c>
      <c r="I161" s="1">
        <v>848000000</v>
      </c>
      <c r="J161" s="1">
        <v>82900000</v>
      </c>
      <c r="K161" s="1">
        <v>28700000000</v>
      </c>
      <c r="L161" s="1">
        <v>458000000</v>
      </c>
      <c r="M161" s="1">
        <v>0</v>
      </c>
      <c r="N161" s="1">
        <v>39800000000</v>
      </c>
    </row>
    <row r="162" spans="1:14" x14ac:dyDescent="0.2">
      <c r="A162" t="s">
        <v>785</v>
      </c>
      <c r="B162" s="1">
        <v>21200000</v>
      </c>
      <c r="C162" s="1">
        <v>0</v>
      </c>
      <c r="D162" s="1">
        <v>0</v>
      </c>
      <c r="E162" s="1">
        <v>2100000000</v>
      </c>
      <c r="F162" s="1">
        <v>0</v>
      </c>
      <c r="G162" s="1">
        <v>2140000000</v>
      </c>
      <c r="H162" s="1">
        <v>2060000000</v>
      </c>
      <c r="I162" s="1">
        <v>464000000</v>
      </c>
      <c r="J162" s="1">
        <v>0</v>
      </c>
      <c r="K162" s="1">
        <v>13900000000</v>
      </c>
      <c r="L162" s="1">
        <v>3100000000</v>
      </c>
      <c r="M162" s="1">
        <v>0</v>
      </c>
      <c r="N162" s="1">
        <v>23800000000</v>
      </c>
    </row>
    <row r="163" spans="1:14" x14ac:dyDescent="0.2">
      <c r="A163" t="s">
        <v>786</v>
      </c>
      <c r="B163" s="1">
        <v>17100000</v>
      </c>
      <c r="C163" s="1">
        <v>0</v>
      </c>
      <c r="D163" s="1">
        <v>0</v>
      </c>
      <c r="E163" s="1">
        <v>3240000000</v>
      </c>
      <c r="F163" s="1">
        <v>0</v>
      </c>
      <c r="G163" s="1">
        <v>824000000</v>
      </c>
      <c r="H163" s="1">
        <v>1830000000</v>
      </c>
      <c r="I163" s="1">
        <v>462000000</v>
      </c>
      <c r="J163" s="1">
        <v>0</v>
      </c>
      <c r="K163" s="1">
        <v>25600000000</v>
      </c>
      <c r="L163" s="1">
        <v>0</v>
      </c>
      <c r="M163" s="1">
        <v>0</v>
      </c>
      <c r="N163" s="1">
        <v>32000000000</v>
      </c>
    </row>
    <row r="164" spans="1:14" x14ac:dyDescent="0.2">
      <c r="A164" t="s">
        <v>787</v>
      </c>
      <c r="B164" s="1">
        <v>0</v>
      </c>
      <c r="C164" s="1">
        <v>98800000</v>
      </c>
      <c r="D164" s="1">
        <v>0</v>
      </c>
      <c r="E164" s="1">
        <v>1650000000</v>
      </c>
      <c r="F164" s="1">
        <v>0</v>
      </c>
      <c r="G164" s="1">
        <v>2900000000</v>
      </c>
      <c r="H164" s="1">
        <v>1440000000</v>
      </c>
      <c r="I164" s="1">
        <v>566000000</v>
      </c>
      <c r="J164" s="1">
        <v>10600000</v>
      </c>
      <c r="K164" s="1">
        <v>15700000000</v>
      </c>
      <c r="L164" s="1">
        <v>0</v>
      </c>
      <c r="M164" s="1">
        <v>0</v>
      </c>
      <c r="N164" s="1">
        <v>22300000000</v>
      </c>
    </row>
    <row r="165" spans="1:14" x14ac:dyDescent="0.2">
      <c r="A165" t="s">
        <v>788</v>
      </c>
      <c r="B165" s="1">
        <v>0</v>
      </c>
      <c r="C165" s="1">
        <v>81600000</v>
      </c>
      <c r="D165" s="1">
        <v>0</v>
      </c>
      <c r="E165" s="1">
        <v>2740000000</v>
      </c>
      <c r="F165" s="1">
        <v>0</v>
      </c>
      <c r="G165" s="1">
        <v>726000000</v>
      </c>
      <c r="H165" s="1">
        <v>2460000000</v>
      </c>
      <c r="I165" s="1">
        <v>699000000</v>
      </c>
      <c r="J165" s="1">
        <v>436000000</v>
      </c>
      <c r="K165" s="1">
        <v>51300000000</v>
      </c>
      <c r="L165" s="1">
        <v>616000000</v>
      </c>
      <c r="M165" s="1">
        <v>0</v>
      </c>
      <c r="N165" s="1">
        <v>59000000000</v>
      </c>
    </row>
    <row r="166" spans="1:14" x14ac:dyDescent="0.2">
      <c r="A166" t="s">
        <v>789</v>
      </c>
      <c r="B166" s="1">
        <v>0</v>
      </c>
      <c r="C166" s="1">
        <v>0</v>
      </c>
      <c r="D166" s="1">
        <v>0</v>
      </c>
      <c r="E166" s="1">
        <v>5360000000</v>
      </c>
      <c r="F166" s="1">
        <v>0</v>
      </c>
      <c r="G166" s="1">
        <v>2230000000</v>
      </c>
      <c r="H166" s="1">
        <v>3010000000</v>
      </c>
      <c r="I166" s="1">
        <v>772000000</v>
      </c>
      <c r="J166" s="1">
        <v>74900000</v>
      </c>
      <c r="K166" s="1">
        <v>44200000000</v>
      </c>
      <c r="L166" s="1">
        <v>360000000</v>
      </c>
      <c r="M166" s="1">
        <v>0</v>
      </c>
      <c r="N166" s="1">
        <v>56000000000</v>
      </c>
    </row>
    <row r="167" spans="1:14" x14ac:dyDescent="0.2">
      <c r="A167" t="s">
        <v>790</v>
      </c>
      <c r="B167" s="1">
        <v>63300000</v>
      </c>
      <c r="C167" s="1">
        <v>0</v>
      </c>
      <c r="D167" s="1">
        <v>0</v>
      </c>
      <c r="E167" s="1">
        <v>1880000000</v>
      </c>
      <c r="F167" s="1">
        <v>0</v>
      </c>
      <c r="G167" s="1">
        <v>3570000000</v>
      </c>
      <c r="H167" s="1">
        <v>716000000</v>
      </c>
      <c r="I167" s="1">
        <v>713000000</v>
      </c>
      <c r="J167" s="1">
        <v>0</v>
      </c>
      <c r="K167" s="1">
        <v>15700000000</v>
      </c>
      <c r="L167" s="1">
        <v>4010000000</v>
      </c>
      <c r="M167" s="1">
        <v>0</v>
      </c>
      <c r="N167" s="1">
        <v>26700000000</v>
      </c>
    </row>
    <row r="168" spans="1:14" x14ac:dyDescent="0.2">
      <c r="A168" t="s">
        <v>791</v>
      </c>
      <c r="B168" s="1">
        <v>27800000</v>
      </c>
      <c r="C168" s="1">
        <v>0</v>
      </c>
      <c r="D168" s="1">
        <v>0</v>
      </c>
      <c r="E168" s="1">
        <v>4030000000</v>
      </c>
      <c r="F168" s="1">
        <v>0</v>
      </c>
      <c r="G168" s="1">
        <v>2990000000</v>
      </c>
      <c r="H168" s="1">
        <v>2930000000</v>
      </c>
      <c r="I168" s="1">
        <v>622000000</v>
      </c>
      <c r="J168" s="1">
        <v>0</v>
      </c>
      <c r="K168" s="1">
        <v>31000000000</v>
      </c>
      <c r="L168" s="1">
        <v>95100000</v>
      </c>
      <c r="M168" s="1">
        <v>0</v>
      </c>
      <c r="N168" s="1">
        <v>41700000000</v>
      </c>
    </row>
    <row r="169" spans="1:14" x14ac:dyDescent="0.2">
      <c r="A169" t="s">
        <v>792</v>
      </c>
      <c r="B169" s="1">
        <v>0</v>
      </c>
      <c r="C169" s="1">
        <v>13500000</v>
      </c>
      <c r="D169" s="1">
        <v>0</v>
      </c>
      <c r="E169" s="1">
        <v>99300000</v>
      </c>
      <c r="F169" s="1">
        <v>0</v>
      </c>
      <c r="G169" s="1">
        <v>2640000</v>
      </c>
      <c r="H169" s="1">
        <v>35800000</v>
      </c>
      <c r="I169" s="1">
        <v>28900000</v>
      </c>
      <c r="J169" s="1">
        <v>4210000</v>
      </c>
      <c r="K169" s="1">
        <v>31800000</v>
      </c>
      <c r="L169" s="1">
        <v>235000000</v>
      </c>
      <c r="M169" s="1">
        <v>0</v>
      </c>
      <c r="N169" s="1">
        <v>451000000</v>
      </c>
    </row>
    <row r="170" spans="1:14" x14ac:dyDescent="0.2">
      <c r="A170" t="s">
        <v>793</v>
      </c>
      <c r="B170" s="1">
        <v>0</v>
      </c>
      <c r="C170" s="1">
        <v>34100000</v>
      </c>
      <c r="D170" s="1">
        <v>0</v>
      </c>
      <c r="E170" s="1">
        <v>39800000</v>
      </c>
      <c r="F170" s="1">
        <v>0</v>
      </c>
      <c r="G170" s="1">
        <v>1670000</v>
      </c>
      <c r="H170" s="1">
        <v>78700000</v>
      </c>
      <c r="I170" s="1">
        <v>7250000</v>
      </c>
      <c r="J170" s="1">
        <v>10300000</v>
      </c>
      <c r="K170" s="1">
        <v>10600000</v>
      </c>
      <c r="L170" s="1">
        <v>50400000</v>
      </c>
      <c r="M170" s="1">
        <v>0</v>
      </c>
      <c r="N170" s="1">
        <v>233000000</v>
      </c>
    </row>
    <row r="171" spans="1:14" x14ac:dyDescent="0.2">
      <c r="A171" t="s">
        <v>794</v>
      </c>
      <c r="B171" s="1">
        <v>0</v>
      </c>
      <c r="C171" s="1">
        <v>18400000</v>
      </c>
      <c r="D171" s="1">
        <v>0</v>
      </c>
      <c r="E171" s="1">
        <v>21100000</v>
      </c>
      <c r="F171" s="1">
        <v>0</v>
      </c>
      <c r="G171" s="1">
        <v>1060000</v>
      </c>
      <c r="H171" s="1">
        <v>12600000</v>
      </c>
      <c r="I171" s="1">
        <v>6470000</v>
      </c>
      <c r="J171" s="1">
        <v>2110000</v>
      </c>
      <c r="K171" s="1">
        <v>22600000</v>
      </c>
      <c r="L171" s="1">
        <v>138000000</v>
      </c>
      <c r="M171" s="1">
        <v>0</v>
      </c>
      <c r="N171" s="1">
        <v>222000000</v>
      </c>
    </row>
    <row r="172" spans="1:14" x14ac:dyDescent="0.2">
      <c r="A172" t="s">
        <v>795</v>
      </c>
      <c r="B172" s="1">
        <v>672000</v>
      </c>
      <c r="C172" s="1">
        <v>0</v>
      </c>
      <c r="D172" s="1">
        <v>0</v>
      </c>
      <c r="E172" s="1">
        <v>96700000</v>
      </c>
      <c r="F172" s="1">
        <v>0</v>
      </c>
      <c r="G172" s="1">
        <v>2940000</v>
      </c>
      <c r="H172" s="1">
        <v>46800000</v>
      </c>
      <c r="I172" s="1">
        <v>28000000</v>
      </c>
      <c r="J172" s="1">
        <v>0</v>
      </c>
      <c r="K172" s="1">
        <v>18100000</v>
      </c>
      <c r="L172" s="1">
        <v>251000000</v>
      </c>
      <c r="M172" s="1">
        <v>0</v>
      </c>
      <c r="N172" s="1">
        <v>444000000</v>
      </c>
    </row>
    <row r="173" spans="1:14" x14ac:dyDescent="0.2">
      <c r="A173" t="s">
        <v>796</v>
      </c>
      <c r="B173" s="1">
        <v>0</v>
      </c>
      <c r="C173" s="1">
        <v>0</v>
      </c>
      <c r="D173" s="1">
        <v>0</v>
      </c>
      <c r="E173" s="1">
        <v>5120000</v>
      </c>
      <c r="F173" s="1">
        <v>0</v>
      </c>
      <c r="G173" s="1">
        <v>673000</v>
      </c>
      <c r="H173" s="1">
        <v>0</v>
      </c>
      <c r="I173" s="1">
        <v>847000</v>
      </c>
      <c r="J173" s="1">
        <v>0</v>
      </c>
      <c r="K173" s="1">
        <v>3820000</v>
      </c>
      <c r="L173" s="1">
        <v>51900000</v>
      </c>
      <c r="M173" s="1">
        <v>0</v>
      </c>
      <c r="N173" s="1">
        <v>62400000</v>
      </c>
    </row>
    <row r="174" spans="1:14" x14ac:dyDescent="0.2">
      <c r="A174" t="s">
        <v>797</v>
      </c>
      <c r="B174" s="1">
        <v>30100000</v>
      </c>
      <c r="C174" s="1">
        <v>0</v>
      </c>
      <c r="D174" s="1">
        <v>0</v>
      </c>
      <c r="E174" s="1">
        <v>408000000</v>
      </c>
      <c r="F174" s="1">
        <v>0</v>
      </c>
      <c r="G174" s="1">
        <v>16400000</v>
      </c>
      <c r="H174" s="1">
        <v>458000000</v>
      </c>
      <c r="I174" s="1">
        <v>84200000</v>
      </c>
      <c r="J174" s="1">
        <v>0</v>
      </c>
      <c r="K174" s="1">
        <v>387000000</v>
      </c>
      <c r="L174" s="1">
        <v>10600000</v>
      </c>
      <c r="M174" s="1">
        <v>0</v>
      </c>
      <c r="N174" s="1">
        <v>1390000000</v>
      </c>
    </row>
    <row r="175" spans="1:14" x14ac:dyDescent="0.2">
      <c r="A175" t="s">
        <v>798</v>
      </c>
      <c r="B175" s="1">
        <v>0</v>
      </c>
      <c r="C175" s="1">
        <v>8390000</v>
      </c>
      <c r="D175" s="1">
        <v>0</v>
      </c>
      <c r="E175" s="1">
        <v>151000000</v>
      </c>
      <c r="F175" s="1">
        <v>0</v>
      </c>
      <c r="G175" s="1">
        <v>2050000</v>
      </c>
      <c r="H175" s="1">
        <v>0</v>
      </c>
      <c r="I175" s="1">
        <v>42300000</v>
      </c>
      <c r="J175" s="1">
        <v>1250000</v>
      </c>
      <c r="K175" s="1">
        <v>19400000</v>
      </c>
      <c r="L175" s="1">
        <v>111000000</v>
      </c>
      <c r="M175" s="1">
        <v>0</v>
      </c>
      <c r="N175" s="1">
        <v>336000000</v>
      </c>
    </row>
    <row r="176" spans="1:14" x14ac:dyDescent="0.2">
      <c r="A176" t="s">
        <v>799</v>
      </c>
      <c r="B176" s="1">
        <v>0</v>
      </c>
      <c r="C176" s="1">
        <v>0</v>
      </c>
      <c r="D176" s="1">
        <v>0</v>
      </c>
      <c r="E176" s="1">
        <v>15100000</v>
      </c>
      <c r="F176" s="1">
        <v>0</v>
      </c>
      <c r="G176" s="1">
        <v>2780000</v>
      </c>
      <c r="H176" s="1">
        <v>0</v>
      </c>
      <c r="I176" s="1">
        <v>15600000</v>
      </c>
      <c r="J176" s="1">
        <v>3700000</v>
      </c>
      <c r="K176" s="1">
        <v>156000000</v>
      </c>
      <c r="L176" s="1">
        <v>0</v>
      </c>
      <c r="M176" s="1">
        <v>0</v>
      </c>
      <c r="N176" s="1">
        <v>193000000</v>
      </c>
    </row>
    <row r="177" spans="1:14" x14ac:dyDescent="0.2">
      <c r="A177" t="s">
        <v>800</v>
      </c>
      <c r="B177" s="1">
        <v>0</v>
      </c>
      <c r="C177" s="1">
        <v>51400000</v>
      </c>
      <c r="D177" s="1">
        <v>0</v>
      </c>
      <c r="E177" s="1">
        <v>1440000000</v>
      </c>
      <c r="F177" s="1">
        <v>0</v>
      </c>
      <c r="G177" s="1">
        <v>9620000</v>
      </c>
      <c r="H177" s="1">
        <v>557000000</v>
      </c>
      <c r="I177" s="1">
        <v>186000000</v>
      </c>
      <c r="J177" s="1">
        <v>18000000</v>
      </c>
      <c r="K177" s="1">
        <v>103000000</v>
      </c>
      <c r="L177" s="1">
        <v>693000000</v>
      </c>
      <c r="M177" s="1">
        <v>0</v>
      </c>
      <c r="N177" s="1">
        <v>3060000000</v>
      </c>
    </row>
    <row r="178" spans="1:14" x14ac:dyDescent="0.2">
      <c r="A178" t="s">
        <v>801</v>
      </c>
      <c r="B178" s="1">
        <v>956000</v>
      </c>
      <c r="C178" s="1">
        <v>0</v>
      </c>
      <c r="D178" s="1">
        <v>0</v>
      </c>
      <c r="E178" s="1">
        <v>10700000</v>
      </c>
      <c r="F178" s="1">
        <v>0</v>
      </c>
      <c r="G178" s="1">
        <v>17700000</v>
      </c>
      <c r="H178" s="1">
        <v>3690000</v>
      </c>
      <c r="I178" s="1">
        <v>6100000</v>
      </c>
      <c r="J178" s="1">
        <v>0</v>
      </c>
      <c r="K178" s="1">
        <v>25100000</v>
      </c>
      <c r="L178" s="1">
        <v>43900000</v>
      </c>
      <c r="M178" s="1">
        <v>0</v>
      </c>
      <c r="N178" s="1">
        <v>108000000</v>
      </c>
    </row>
    <row r="179" spans="1:14" x14ac:dyDescent="0.2">
      <c r="A179" t="s">
        <v>802</v>
      </c>
      <c r="B179" s="1">
        <v>0</v>
      </c>
      <c r="C179" s="1">
        <v>0</v>
      </c>
      <c r="D179" s="1">
        <v>0</v>
      </c>
      <c r="E179" s="1">
        <v>15000000</v>
      </c>
      <c r="F179" s="1">
        <v>0</v>
      </c>
      <c r="G179" s="1">
        <v>4590000</v>
      </c>
      <c r="H179" s="1">
        <v>0</v>
      </c>
      <c r="I179" s="1">
        <v>7830000</v>
      </c>
      <c r="J179" s="1">
        <v>0</v>
      </c>
      <c r="K179" s="1">
        <v>23400000</v>
      </c>
      <c r="L179" s="1">
        <v>274000000</v>
      </c>
      <c r="M179" s="1">
        <v>0</v>
      </c>
      <c r="N179" s="1">
        <v>325000000</v>
      </c>
    </row>
    <row r="180" spans="1:14" x14ac:dyDescent="0.2">
      <c r="A180" t="s">
        <v>803</v>
      </c>
      <c r="B180" s="1">
        <v>1730000</v>
      </c>
      <c r="C180" s="1">
        <v>0</v>
      </c>
      <c r="D180" s="1">
        <v>0</v>
      </c>
      <c r="E180" s="1">
        <v>180000000</v>
      </c>
      <c r="F180" s="1">
        <v>0</v>
      </c>
      <c r="G180" s="1">
        <v>5070000</v>
      </c>
      <c r="H180" s="1">
        <v>78500000</v>
      </c>
      <c r="I180" s="1">
        <v>47700000</v>
      </c>
      <c r="J180" s="1">
        <v>0</v>
      </c>
      <c r="K180" s="1">
        <v>51000000</v>
      </c>
      <c r="L180" s="1">
        <v>0</v>
      </c>
      <c r="M180" s="1">
        <v>0</v>
      </c>
      <c r="N180" s="1">
        <v>364000000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80"/>
  <sheetViews>
    <sheetView workbookViewId="0">
      <selection activeCell="K37" sqref="K37"/>
    </sheetView>
  </sheetViews>
  <sheetFormatPr baseColWidth="10" defaultRowHeight="15" x14ac:dyDescent="0.2"/>
  <sheetData>
    <row r="1" spans="1:13" x14ac:dyDescent="0.2">
      <c r="A1" t="s">
        <v>804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625</v>
      </c>
      <c r="B2" s="1">
        <v>4.7199999999999998E-4</v>
      </c>
      <c r="C2" s="1">
        <v>0</v>
      </c>
      <c r="D2" s="1">
        <v>0</v>
      </c>
      <c r="E2" s="1">
        <v>6.3899999999999998E-2</v>
      </c>
      <c r="F2" s="1">
        <v>0.12</v>
      </c>
      <c r="G2" s="1">
        <v>0.23400000000000001</v>
      </c>
      <c r="H2" s="1">
        <v>6.4699999999999994E-2</v>
      </c>
      <c r="I2" s="1">
        <v>1.47E-2</v>
      </c>
      <c r="J2" s="1">
        <v>2.14E-3</v>
      </c>
      <c r="K2" s="1">
        <v>0.432</v>
      </c>
      <c r="L2" s="1">
        <v>0</v>
      </c>
      <c r="M2" s="1">
        <v>6.6799999999999998E-2</v>
      </c>
    </row>
    <row r="3" spans="1:13" x14ac:dyDescent="0.2">
      <c r="A3" t="s">
        <v>626</v>
      </c>
      <c r="B3" s="1">
        <v>2.2100000000000002E-3</v>
      </c>
      <c r="C3" s="1">
        <v>0</v>
      </c>
      <c r="D3" s="1">
        <v>0</v>
      </c>
      <c r="E3" s="1">
        <v>2.8400000000000002E-2</v>
      </c>
      <c r="F3" s="1">
        <v>7.9699999999999993E-2</v>
      </c>
      <c r="G3" s="1">
        <v>5.96E-2</v>
      </c>
      <c r="H3" s="1">
        <v>3.5999999999999997E-2</v>
      </c>
      <c r="I3" s="1">
        <v>7.7499999999999999E-3</v>
      </c>
      <c r="J3" s="1">
        <v>6.8199999999999997E-3</v>
      </c>
      <c r="K3" s="1">
        <v>0.23599999999999999</v>
      </c>
      <c r="L3" s="1">
        <v>0</v>
      </c>
      <c r="M3" s="1">
        <v>0.54300000000000004</v>
      </c>
    </row>
    <row r="4" spans="1:13" x14ac:dyDescent="0.2">
      <c r="A4" t="s">
        <v>627</v>
      </c>
      <c r="B4" s="1">
        <v>0</v>
      </c>
      <c r="C4" s="1">
        <v>0</v>
      </c>
      <c r="D4" s="1">
        <v>0</v>
      </c>
      <c r="E4" s="1">
        <v>8.9300000000000004E-2</v>
      </c>
      <c r="F4" s="1">
        <v>6.7100000000000007E-2</v>
      </c>
      <c r="G4" s="1">
        <v>0.19900000000000001</v>
      </c>
      <c r="H4" s="1">
        <v>4.4299999999999999E-2</v>
      </c>
      <c r="I4" s="1">
        <v>1.6299999999999999E-2</v>
      </c>
      <c r="J4" s="1">
        <v>1.16E-3</v>
      </c>
      <c r="K4" s="1">
        <v>0.54</v>
      </c>
      <c r="L4" s="1">
        <v>0</v>
      </c>
      <c r="M4" s="1">
        <v>4.2599999999999999E-2</v>
      </c>
    </row>
    <row r="5" spans="1:13" x14ac:dyDescent="0.2">
      <c r="A5" t="s">
        <v>628</v>
      </c>
      <c r="B5" s="1">
        <v>0</v>
      </c>
      <c r="C5" s="1">
        <v>0</v>
      </c>
      <c r="D5" s="1">
        <v>0</v>
      </c>
      <c r="E5" s="1">
        <v>0.13700000000000001</v>
      </c>
      <c r="F5" s="1">
        <v>6.7500000000000004E-2</v>
      </c>
      <c r="G5" s="1">
        <v>0.14899999999999999</v>
      </c>
      <c r="H5" s="1">
        <v>3.5700000000000003E-2</v>
      </c>
      <c r="I5" s="1">
        <v>1.0200000000000001E-2</v>
      </c>
      <c r="J5" s="1">
        <v>5.11E-3</v>
      </c>
      <c r="K5" s="1">
        <v>0.42699999999999999</v>
      </c>
      <c r="L5" s="1">
        <v>0</v>
      </c>
      <c r="M5" s="1">
        <v>0.16900000000000001</v>
      </c>
    </row>
    <row r="6" spans="1:13" x14ac:dyDescent="0.2">
      <c r="A6" t="s">
        <v>629</v>
      </c>
      <c r="B6" s="1">
        <v>0</v>
      </c>
      <c r="C6" s="1">
        <v>0</v>
      </c>
      <c r="D6" s="1">
        <v>0</v>
      </c>
      <c r="E6" s="1">
        <v>8.2299999999999998E-2</v>
      </c>
      <c r="F6" s="1">
        <v>4.5400000000000003E-2</v>
      </c>
      <c r="G6" s="1">
        <v>0.20799999999999999</v>
      </c>
      <c r="H6" s="1">
        <v>4.2799999999999998E-2</v>
      </c>
      <c r="I6" s="1">
        <v>1.52E-2</v>
      </c>
      <c r="J6" s="1">
        <v>2.3400000000000001E-3</v>
      </c>
      <c r="K6" s="1">
        <v>0.53700000000000003</v>
      </c>
      <c r="L6" s="1">
        <v>0</v>
      </c>
      <c r="M6" s="1">
        <v>6.6500000000000004E-2</v>
      </c>
    </row>
    <row r="7" spans="1:13" x14ac:dyDescent="0.2">
      <c r="A7" t="s">
        <v>630</v>
      </c>
      <c r="B7" s="1">
        <v>0</v>
      </c>
      <c r="C7" s="1">
        <v>0</v>
      </c>
      <c r="D7" s="1">
        <v>0</v>
      </c>
      <c r="E7" s="1">
        <v>8.4900000000000003E-2</v>
      </c>
      <c r="F7" s="1">
        <v>5.4899999999999997E-2</v>
      </c>
      <c r="G7" s="1">
        <v>0.16900000000000001</v>
      </c>
      <c r="H7" s="1">
        <v>5.0500000000000003E-2</v>
      </c>
      <c r="I7" s="1">
        <v>8.5299999999999994E-3</v>
      </c>
      <c r="J7" s="1">
        <v>5.6699999999999997E-3</v>
      </c>
      <c r="K7" s="1">
        <v>0.45900000000000002</v>
      </c>
      <c r="L7" s="1">
        <v>1.17E-3</v>
      </c>
      <c r="M7" s="1">
        <v>0.16600000000000001</v>
      </c>
    </row>
    <row r="8" spans="1:13" x14ac:dyDescent="0.2">
      <c r="A8" t="s">
        <v>631</v>
      </c>
      <c r="B8" s="1">
        <v>0</v>
      </c>
      <c r="C8" s="1">
        <v>0</v>
      </c>
      <c r="D8" s="1">
        <v>0</v>
      </c>
      <c r="E8" s="1">
        <v>6.25E-2</v>
      </c>
      <c r="F8" s="1">
        <v>7.1900000000000006E-2</v>
      </c>
      <c r="G8" s="1">
        <v>0.17100000000000001</v>
      </c>
      <c r="H8" s="1">
        <v>4.7699999999999999E-2</v>
      </c>
      <c r="I8" s="1">
        <v>1.15E-2</v>
      </c>
      <c r="J8" s="1">
        <v>5.8500000000000002E-3</v>
      </c>
      <c r="K8" s="1">
        <v>0.49399999999999999</v>
      </c>
      <c r="L8" s="1">
        <v>0</v>
      </c>
      <c r="M8" s="1">
        <v>0.13500000000000001</v>
      </c>
    </row>
    <row r="9" spans="1:13" x14ac:dyDescent="0.2">
      <c r="A9" t="s">
        <v>632</v>
      </c>
      <c r="B9" s="1">
        <v>1.58E-3</v>
      </c>
      <c r="C9" s="1">
        <v>0</v>
      </c>
      <c r="D9" s="1">
        <v>0</v>
      </c>
      <c r="E9" s="1">
        <v>0.184</v>
      </c>
      <c r="F9" s="1">
        <v>0.115</v>
      </c>
      <c r="G9" s="1">
        <v>0.317</v>
      </c>
      <c r="H9" s="1">
        <v>0.16200000000000001</v>
      </c>
      <c r="I9" s="1">
        <v>2.5600000000000001E-2</v>
      </c>
      <c r="J9" s="1">
        <v>9.8300000000000002E-3</v>
      </c>
      <c r="K9" s="1">
        <v>0</v>
      </c>
      <c r="L9" s="1">
        <v>4.8300000000000001E-3</v>
      </c>
      <c r="M9" s="1">
        <v>0.18</v>
      </c>
    </row>
    <row r="10" spans="1:13" x14ac:dyDescent="0.2">
      <c r="A10" t="s">
        <v>633</v>
      </c>
      <c r="B10" s="1">
        <v>8.52E-4</v>
      </c>
      <c r="C10" s="1">
        <v>0</v>
      </c>
      <c r="D10" s="1">
        <v>0</v>
      </c>
      <c r="E10" s="1">
        <v>0.17799999999999999</v>
      </c>
      <c r="F10" s="1">
        <v>9.8599999999999993E-2</v>
      </c>
      <c r="G10" s="1">
        <v>0.29499999999999998</v>
      </c>
      <c r="H10" s="1">
        <v>0.158</v>
      </c>
      <c r="I10" s="1">
        <v>2.0799999999999999E-2</v>
      </c>
      <c r="J10" s="1">
        <v>6.4099999999999999E-3</v>
      </c>
      <c r="K10" s="1">
        <v>0</v>
      </c>
      <c r="L10" s="1">
        <v>1.09E-3</v>
      </c>
      <c r="M10" s="1">
        <v>0.24099999999999999</v>
      </c>
    </row>
    <row r="11" spans="1:13" x14ac:dyDescent="0.2">
      <c r="A11" t="s">
        <v>634</v>
      </c>
      <c r="B11" s="1">
        <v>1.08E-3</v>
      </c>
      <c r="C11" s="1">
        <v>0</v>
      </c>
      <c r="D11" s="1">
        <v>0</v>
      </c>
      <c r="E11" s="1">
        <v>0.16300000000000001</v>
      </c>
      <c r="F11" s="1">
        <v>9.3100000000000002E-2</v>
      </c>
      <c r="G11" s="1">
        <v>0.307</v>
      </c>
      <c r="H11" s="1">
        <v>0.122</v>
      </c>
      <c r="I11" s="1">
        <v>2.3900000000000001E-2</v>
      </c>
      <c r="J11" s="1">
        <v>1.09E-2</v>
      </c>
      <c r="K11" s="1">
        <v>0</v>
      </c>
      <c r="L11" s="1">
        <v>1.6800000000000001E-3</v>
      </c>
      <c r="M11" s="1">
        <v>0.27700000000000002</v>
      </c>
    </row>
    <row r="12" spans="1:13" x14ac:dyDescent="0.2">
      <c r="A12" t="s">
        <v>635</v>
      </c>
      <c r="B12" s="1">
        <v>0</v>
      </c>
      <c r="C12" s="1">
        <v>0</v>
      </c>
      <c r="D12" s="1">
        <v>0</v>
      </c>
      <c r="E12" s="1">
        <v>0.17599999999999999</v>
      </c>
      <c r="F12" s="1">
        <v>0.108</v>
      </c>
      <c r="G12" s="1">
        <v>0.32300000000000001</v>
      </c>
      <c r="H12" s="1">
        <v>0.154</v>
      </c>
      <c r="I12" s="1">
        <v>2.0500000000000001E-2</v>
      </c>
      <c r="J12" s="1">
        <v>5.3099999999999996E-3</v>
      </c>
      <c r="K12" s="1">
        <v>0</v>
      </c>
      <c r="L12" s="1">
        <v>4.6499999999999996E-3</v>
      </c>
      <c r="M12" s="1">
        <v>0.20699999999999999</v>
      </c>
    </row>
    <row r="13" spans="1:13" x14ac:dyDescent="0.2">
      <c r="A13" t="s">
        <v>636</v>
      </c>
      <c r="B13" s="1">
        <v>5.7899999999999998E-4</v>
      </c>
      <c r="C13" s="1">
        <v>0</v>
      </c>
      <c r="D13" s="1">
        <v>0</v>
      </c>
      <c r="E13" s="1">
        <v>8.9800000000000005E-2</v>
      </c>
      <c r="F13" s="1">
        <v>0.105</v>
      </c>
      <c r="G13" s="1">
        <v>0.215</v>
      </c>
      <c r="H13" s="1">
        <v>5.6000000000000001E-2</v>
      </c>
      <c r="I13" s="1">
        <v>1.09E-2</v>
      </c>
      <c r="J13" s="1">
        <v>7.8299999999999995E-4</v>
      </c>
      <c r="K13" s="1">
        <v>0.47899999999999998</v>
      </c>
      <c r="L13" s="1">
        <v>0</v>
      </c>
      <c r="M13" s="1">
        <v>4.3299999999999998E-2</v>
      </c>
    </row>
    <row r="14" spans="1:13" x14ac:dyDescent="0.2">
      <c r="A14" t="s">
        <v>637</v>
      </c>
      <c r="B14" s="1">
        <v>3.7799999999999999E-3</v>
      </c>
      <c r="C14" s="1">
        <v>9.0299999999999999E-5</v>
      </c>
      <c r="D14" s="1">
        <v>0</v>
      </c>
      <c r="E14" s="1">
        <v>4.99E-2</v>
      </c>
      <c r="F14" s="1">
        <v>7.0999999999999994E-2</v>
      </c>
      <c r="G14" s="1">
        <v>2.1700000000000001E-2</v>
      </c>
      <c r="H14" s="1">
        <v>4.9000000000000002E-2</v>
      </c>
      <c r="I14" s="1">
        <v>4.8300000000000001E-3</v>
      </c>
      <c r="J14" s="1">
        <v>9.7000000000000003E-3</v>
      </c>
      <c r="K14" s="1">
        <v>0.45800000000000002</v>
      </c>
      <c r="L14" s="1">
        <v>3.57E-4</v>
      </c>
      <c r="M14" s="1">
        <v>0.33200000000000002</v>
      </c>
    </row>
    <row r="15" spans="1:13" x14ac:dyDescent="0.2">
      <c r="A15" t="s">
        <v>638</v>
      </c>
      <c r="B15" s="1">
        <v>1.34E-4</v>
      </c>
      <c r="C15" s="1">
        <v>1.85E-4</v>
      </c>
      <c r="D15" s="1">
        <v>0</v>
      </c>
      <c r="E15" s="1">
        <v>6.7599999999999993E-2</v>
      </c>
      <c r="F15" s="1">
        <v>5.7700000000000001E-2</v>
      </c>
      <c r="G15" s="1">
        <v>0.13800000000000001</v>
      </c>
      <c r="H15" s="1">
        <v>4.1099999999999998E-2</v>
      </c>
      <c r="I15" s="1">
        <v>1.32E-2</v>
      </c>
      <c r="J15" s="1">
        <v>4.5100000000000001E-3</v>
      </c>
      <c r="K15" s="1">
        <v>0.53300000000000003</v>
      </c>
      <c r="L15" s="1">
        <v>5.7899999999999998E-4</v>
      </c>
      <c r="M15" s="1">
        <v>0.14399999999999999</v>
      </c>
    </row>
    <row r="16" spans="1:13" x14ac:dyDescent="0.2">
      <c r="A16" t="s">
        <v>639</v>
      </c>
      <c r="B16" s="1">
        <v>0</v>
      </c>
      <c r="C16" s="1">
        <v>0</v>
      </c>
      <c r="D16" s="1">
        <v>0</v>
      </c>
      <c r="E16" s="1">
        <v>8.8400000000000006E-2</v>
      </c>
      <c r="F16" s="1">
        <v>6.6100000000000006E-2</v>
      </c>
      <c r="G16" s="1">
        <v>7.2700000000000001E-2</v>
      </c>
      <c r="H16" s="1">
        <v>7.8299999999999995E-2</v>
      </c>
      <c r="I16" s="1">
        <v>5.8799999999999998E-3</v>
      </c>
      <c r="J16" s="1">
        <v>5.8100000000000001E-3</v>
      </c>
      <c r="K16" s="1">
        <v>0.46300000000000002</v>
      </c>
      <c r="L16" s="1">
        <v>5.9500000000000004E-3</v>
      </c>
      <c r="M16" s="1">
        <v>0.214</v>
      </c>
    </row>
    <row r="17" spans="1:13" x14ac:dyDescent="0.2">
      <c r="A17" t="s">
        <v>640</v>
      </c>
      <c r="B17" s="1">
        <v>0</v>
      </c>
      <c r="C17" s="1">
        <v>0</v>
      </c>
      <c r="D17" s="1">
        <v>0</v>
      </c>
      <c r="E17" s="1">
        <v>2.15E-3</v>
      </c>
      <c r="F17" s="1">
        <v>8.9099999999999995E-3</v>
      </c>
      <c r="G17" s="1">
        <v>3.0099999999999998E-2</v>
      </c>
      <c r="H17" s="1">
        <v>3.47E-3</v>
      </c>
      <c r="I17" s="1">
        <v>0</v>
      </c>
      <c r="J17" s="1">
        <v>2.2399999999999998E-3</v>
      </c>
      <c r="K17" s="1">
        <v>1.5299999999999999E-2</v>
      </c>
      <c r="L17" s="1">
        <v>0.85399999999999998</v>
      </c>
      <c r="M17" s="1">
        <v>8.4099999999999994E-2</v>
      </c>
    </row>
    <row r="18" spans="1:13" x14ac:dyDescent="0.2">
      <c r="A18" t="s">
        <v>641</v>
      </c>
      <c r="B18" s="1">
        <v>0</v>
      </c>
      <c r="C18" s="1">
        <v>0</v>
      </c>
      <c r="D18" s="1">
        <v>0</v>
      </c>
      <c r="E18" s="1">
        <v>8.3500000000000005E-2</v>
      </c>
      <c r="F18" s="1">
        <v>0.10100000000000001</v>
      </c>
      <c r="G18" s="1">
        <v>0.19600000000000001</v>
      </c>
      <c r="H18" s="1">
        <v>7.9600000000000004E-2</v>
      </c>
      <c r="I18" s="1">
        <v>5.7299999999999999E-3</v>
      </c>
      <c r="J18" s="1">
        <v>1.04E-2</v>
      </c>
      <c r="K18" s="1">
        <v>0.23499999999999999</v>
      </c>
      <c r="L18" s="1">
        <v>0</v>
      </c>
      <c r="M18" s="1">
        <v>0.28799999999999998</v>
      </c>
    </row>
    <row r="19" spans="1:13" x14ac:dyDescent="0.2">
      <c r="A19" t="s">
        <v>642</v>
      </c>
      <c r="B19" s="1">
        <v>3.5799999999999998E-3</v>
      </c>
      <c r="C19" s="1">
        <v>0</v>
      </c>
      <c r="D19" s="1">
        <v>0</v>
      </c>
      <c r="E19" s="1">
        <v>0.17699999999999999</v>
      </c>
      <c r="F19" s="1">
        <v>9.4299999999999995E-2</v>
      </c>
      <c r="G19" s="1">
        <v>0.18099999999999999</v>
      </c>
      <c r="H19" s="1">
        <v>0.184</v>
      </c>
      <c r="I19" s="1">
        <v>2.8899999999999999E-2</v>
      </c>
      <c r="J19" s="1">
        <v>1.12E-2</v>
      </c>
      <c r="K19" s="1">
        <v>0</v>
      </c>
      <c r="L19" s="1">
        <v>6.6699999999999997E-3</v>
      </c>
      <c r="M19" s="1">
        <v>0.313</v>
      </c>
    </row>
    <row r="20" spans="1:13" x14ac:dyDescent="0.2">
      <c r="A20" t="s">
        <v>643</v>
      </c>
      <c r="B20" s="1">
        <v>5.6499999999999996E-3</v>
      </c>
      <c r="C20" s="1">
        <v>0</v>
      </c>
      <c r="D20" s="1">
        <v>0</v>
      </c>
      <c r="E20" s="1">
        <v>0.24199999999999999</v>
      </c>
      <c r="F20" s="1">
        <v>7.0900000000000005E-2</v>
      </c>
      <c r="G20" s="1">
        <v>0.185</v>
      </c>
      <c r="H20" s="1">
        <v>0.126</v>
      </c>
      <c r="I20" s="1">
        <v>2.1299999999999999E-2</v>
      </c>
      <c r="J20" s="1">
        <v>8.7799999999999996E-3</v>
      </c>
      <c r="K20" s="1">
        <v>0</v>
      </c>
      <c r="L20" s="1">
        <v>1.7700000000000001E-3</v>
      </c>
      <c r="M20" s="1">
        <v>0.33900000000000002</v>
      </c>
    </row>
    <row r="21" spans="1:13" x14ac:dyDescent="0.2">
      <c r="A21" t="s">
        <v>644</v>
      </c>
      <c r="B21" s="1">
        <v>3.7200000000000002E-3</v>
      </c>
      <c r="C21" s="1">
        <v>0</v>
      </c>
      <c r="D21" s="1">
        <v>0</v>
      </c>
      <c r="E21" s="1">
        <v>0.317</v>
      </c>
      <c r="F21" s="1">
        <v>9.8599999999999993E-2</v>
      </c>
      <c r="G21" s="1">
        <v>0.23899999999999999</v>
      </c>
      <c r="H21" s="1">
        <v>0.17699999999999999</v>
      </c>
      <c r="I21" s="1">
        <v>1.9099999999999999E-2</v>
      </c>
      <c r="J21" s="1">
        <v>1.3799999999999999E-3</v>
      </c>
      <c r="K21" s="1">
        <v>0</v>
      </c>
      <c r="L21" s="1">
        <v>0</v>
      </c>
      <c r="M21" s="1">
        <v>0.14499999999999999</v>
      </c>
    </row>
    <row r="22" spans="1:13" x14ac:dyDescent="0.2">
      <c r="A22" t="s">
        <v>645</v>
      </c>
      <c r="B22" s="1">
        <v>5.7299999999999999E-3</v>
      </c>
      <c r="C22" s="1">
        <v>2.5799999999999998E-4</v>
      </c>
      <c r="D22" s="1">
        <v>0</v>
      </c>
      <c r="E22" s="1">
        <v>0.189</v>
      </c>
      <c r="F22" s="1">
        <v>6.8599999999999994E-2</v>
      </c>
      <c r="G22" s="1">
        <v>0.26400000000000001</v>
      </c>
      <c r="H22" s="1">
        <v>0.111</v>
      </c>
      <c r="I22" s="1">
        <v>1.38E-2</v>
      </c>
      <c r="J22" s="1">
        <v>6.7799999999999996E-3</v>
      </c>
      <c r="K22" s="1">
        <v>0</v>
      </c>
      <c r="L22" s="1">
        <v>1.0499999999999999E-3</v>
      </c>
      <c r="M22" s="1">
        <v>0.34</v>
      </c>
    </row>
    <row r="23" spans="1:13" x14ac:dyDescent="0.2">
      <c r="A23" t="s">
        <v>646</v>
      </c>
      <c r="B23" s="1">
        <v>2.49E-3</v>
      </c>
      <c r="C23" s="1">
        <v>3.86E-4</v>
      </c>
      <c r="D23" s="1">
        <v>0</v>
      </c>
      <c r="E23" s="1">
        <v>8.1600000000000006E-2</v>
      </c>
      <c r="F23" s="1">
        <v>9.4200000000000006E-2</v>
      </c>
      <c r="G23" s="1">
        <v>9.6100000000000005E-2</v>
      </c>
      <c r="H23" s="1">
        <v>8.3900000000000002E-2</v>
      </c>
      <c r="I23" s="1">
        <v>1.17E-2</v>
      </c>
      <c r="J23" s="1">
        <v>1.1299999999999999E-2</v>
      </c>
      <c r="K23" s="1">
        <v>0.35299999999999998</v>
      </c>
      <c r="L23" s="1">
        <v>1.0399999999999999E-3</v>
      </c>
      <c r="M23" s="1">
        <v>0.26500000000000001</v>
      </c>
    </row>
    <row r="24" spans="1:13" x14ac:dyDescent="0.2">
      <c r="A24" t="s">
        <v>647</v>
      </c>
      <c r="B24" s="1">
        <v>2.7100000000000002E-3</v>
      </c>
      <c r="C24" s="1">
        <v>0</v>
      </c>
      <c r="D24" s="1">
        <v>0</v>
      </c>
      <c r="E24" s="1">
        <v>8.3199999999999996E-2</v>
      </c>
      <c r="F24" s="1">
        <v>9.8599999999999993E-2</v>
      </c>
      <c r="G24" s="1">
        <v>2.8199999999999999E-2</v>
      </c>
      <c r="H24" s="1">
        <v>6.8199999999999997E-2</v>
      </c>
      <c r="I24" s="1">
        <v>7.8200000000000006E-3</v>
      </c>
      <c r="J24" s="1">
        <v>1.99E-3</v>
      </c>
      <c r="K24" s="1">
        <v>0.65</v>
      </c>
      <c r="L24" s="1">
        <v>0</v>
      </c>
      <c r="M24" s="1">
        <v>5.96E-2</v>
      </c>
    </row>
    <row r="25" spans="1:13" x14ac:dyDescent="0.2">
      <c r="A25" t="s">
        <v>648</v>
      </c>
      <c r="B25" s="1">
        <v>4.99E-5</v>
      </c>
      <c r="C25" s="1">
        <v>0</v>
      </c>
      <c r="D25" s="1">
        <v>0</v>
      </c>
      <c r="E25" s="1">
        <v>8.1000000000000003E-2</v>
      </c>
      <c r="F25" s="1">
        <v>5.7700000000000001E-2</v>
      </c>
      <c r="G25" s="1">
        <v>8.6400000000000005E-2</v>
      </c>
      <c r="H25" s="1">
        <v>6.5199999999999994E-2</v>
      </c>
      <c r="I25" s="1">
        <v>1.17E-2</v>
      </c>
      <c r="J25" s="1">
        <v>3.8900000000000002E-4</v>
      </c>
      <c r="K25" s="1">
        <v>0.66900000000000004</v>
      </c>
      <c r="L25" s="1">
        <v>0</v>
      </c>
      <c r="M25" s="1">
        <v>2.9000000000000001E-2</v>
      </c>
    </row>
    <row r="26" spans="1:13" x14ac:dyDescent="0.2">
      <c r="A26" t="s">
        <v>649</v>
      </c>
      <c r="B26" s="1">
        <v>0</v>
      </c>
      <c r="C26" s="1">
        <v>0</v>
      </c>
      <c r="D26" s="1">
        <v>0</v>
      </c>
      <c r="E26" s="1">
        <v>2.7699999999999999E-2</v>
      </c>
      <c r="F26" s="1">
        <v>0.16200000000000001</v>
      </c>
      <c r="G26" s="1">
        <v>0.442</v>
      </c>
      <c r="H26" s="1">
        <v>7.2800000000000004E-2</v>
      </c>
      <c r="I26" s="1">
        <v>0</v>
      </c>
      <c r="J26" s="1">
        <v>0</v>
      </c>
      <c r="K26" s="1">
        <v>0.13600000000000001</v>
      </c>
      <c r="L26" s="1">
        <v>0</v>
      </c>
      <c r="M26" s="1">
        <v>0.16</v>
      </c>
    </row>
    <row r="27" spans="1:13" x14ac:dyDescent="0.2">
      <c r="A27" t="s">
        <v>650</v>
      </c>
      <c r="B27" s="1">
        <v>0</v>
      </c>
      <c r="C27" s="1">
        <v>0</v>
      </c>
      <c r="D27" s="1">
        <v>0</v>
      </c>
      <c r="E27" s="1">
        <v>8.5099999999999995E-2</v>
      </c>
      <c r="F27" s="1">
        <v>3.4299999999999997E-2</v>
      </c>
      <c r="G27" s="1">
        <v>8.1199999999999994E-2</v>
      </c>
      <c r="H27" s="1">
        <v>7.4899999999999994E-2</v>
      </c>
      <c r="I27" s="1">
        <v>1.09E-2</v>
      </c>
      <c r="J27" s="1">
        <v>8.0599999999999997E-4</v>
      </c>
      <c r="K27" s="1">
        <v>0.66400000000000003</v>
      </c>
      <c r="L27" s="1">
        <v>0</v>
      </c>
      <c r="M27" s="1">
        <v>4.9200000000000001E-2</v>
      </c>
    </row>
    <row r="28" spans="1:13" x14ac:dyDescent="0.2">
      <c r="A28" t="s">
        <v>651</v>
      </c>
      <c r="B28" s="1">
        <v>0</v>
      </c>
      <c r="C28" s="1">
        <v>0</v>
      </c>
      <c r="D28" s="1">
        <v>0</v>
      </c>
      <c r="E28" s="1">
        <v>6.4100000000000004E-2</v>
      </c>
      <c r="F28" s="1">
        <v>3.3500000000000002E-2</v>
      </c>
      <c r="G28" s="1">
        <v>5.1700000000000003E-2</v>
      </c>
      <c r="H28" s="1">
        <v>7.1999999999999995E-2</v>
      </c>
      <c r="I28" s="1">
        <v>1.55E-2</v>
      </c>
      <c r="J28" s="1">
        <v>9.9799999999999997E-4</v>
      </c>
      <c r="K28" s="1">
        <v>0.72099999999999997</v>
      </c>
      <c r="L28" s="1">
        <v>4.1100000000000002E-4</v>
      </c>
      <c r="M28" s="1">
        <v>4.0599999999999997E-2</v>
      </c>
    </row>
    <row r="29" spans="1:13" x14ac:dyDescent="0.2">
      <c r="A29" t="s">
        <v>652</v>
      </c>
      <c r="B29" s="1">
        <v>0</v>
      </c>
      <c r="C29" s="1">
        <v>0</v>
      </c>
      <c r="D29" s="1">
        <v>0</v>
      </c>
      <c r="E29" s="1">
        <v>5.8200000000000002E-2</v>
      </c>
      <c r="F29" s="1">
        <v>7.5700000000000003E-2</v>
      </c>
      <c r="G29" s="1">
        <v>0.23799999999999999</v>
      </c>
      <c r="H29" s="1">
        <v>6.4699999999999994E-2</v>
      </c>
      <c r="I29" s="1">
        <v>1.34E-2</v>
      </c>
      <c r="J29" s="1">
        <v>5.9800000000000001E-4</v>
      </c>
      <c r="K29" s="1">
        <v>0.50900000000000001</v>
      </c>
      <c r="L29" s="1">
        <v>0</v>
      </c>
      <c r="M29" s="1">
        <v>4.1200000000000001E-2</v>
      </c>
    </row>
    <row r="30" spans="1:13" x14ac:dyDescent="0.2">
      <c r="A30" t="s">
        <v>653</v>
      </c>
      <c r="B30" s="1">
        <v>6.4100000000000004E-2</v>
      </c>
      <c r="C30" s="1">
        <v>0</v>
      </c>
      <c r="D30" s="1">
        <v>0</v>
      </c>
      <c r="E30" s="1">
        <v>4.7899999999999998E-2</v>
      </c>
      <c r="F30" s="1">
        <v>6.6499999999999997E-3</v>
      </c>
      <c r="G30" s="1">
        <v>0.129</v>
      </c>
      <c r="H30" s="1">
        <v>0.55600000000000005</v>
      </c>
      <c r="I30" s="1">
        <v>4.8000000000000001E-2</v>
      </c>
      <c r="J30" s="1">
        <v>8.0800000000000002E-4</v>
      </c>
      <c r="K30" s="1">
        <v>0</v>
      </c>
      <c r="L30" s="1">
        <v>6.1599999999999997E-3</v>
      </c>
      <c r="M30" s="1">
        <v>0.14199999999999999</v>
      </c>
    </row>
    <row r="31" spans="1:13" x14ac:dyDescent="0.2">
      <c r="A31" t="s">
        <v>654</v>
      </c>
      <c r="B31" s="1">
        <v>2.5300000000000001E-3</v>
      </c>
      <c r="C31" s="1">
        <v>0</v>
      </c>
      <c r="D31" s="1">
        <v>0</v>
      </c>
      <c r="E31" s="1">
        <v>0.17</v>
      </c>
      <c r="F31" s="1">
        <v>6.9599999999999995E-2</v>
      </c>
      <c r="G31" s="1">
        <v>0.19400000000000001</v>
      </c>
      <c r="H31" s="1">
        <v>0.17299999999999999</v>
      </c>
      <c r="I31" s="1">
        <v>2.1499999999999998E-2</v>
      </c>
      <c r="J31" s="1">
        <v>1.09E-2</v>
      </c>
      <c r="K31" s="1">
        <v>0</v>
      </c>
      <c r="L31" s="1">
        <v>5.7200000000000003E-3</v>
      </c>
      <c r="M31" s="1">
        <v>0.35299999999999998</v>
      </c>
    </row>
    <row r="32" spans="1:13" x14ac:dyDescent="0.2">
      <c r="A32" t="s">
        <v>655</v>
      </c>
      <c r="B32" s="1">
        <v>1.33E-3</v>
      </c>
      <c r="C32" s="1">
        <v>0</v>
      </c>
      <c r="D32" s="1">
        <v>0</v>
      </c>
      <c r="E32" s="1">
        <v>0.253</v>
      </c>
      <c r="F32" s="1">
        <v>8.43E-2</v>
      </c>
      <c r="G32" s="1">
        <v>0.27200000000000002</v>
      </c>
      <c r="H32" s="1">
        <v>0.219</v>
      </c>
      <c r="I32" s="1">
        <v>2.3900000000000001E-2</v>
      </c>
      <c r="J32" s="1">
        <v>1.6100000000000001E-3</v>
      </c>
      <c r="K32" s="1">
        <v>0</v>
      </c>
      <c r="L32" s="1">
        <v>0</v>
      </c>
      <c r="M32" s="1">
        <v>0.14399999999999999</v>
      </c>
    </row>
    <row r="33" spans="1:13" x14ac:dyDescent="0.2">
      <c r="A33" t="s">
        <v>656</v>
      </c>
      <c r="B33" s="1">
        <v>2.4499999999999999E-3</v>
      </c>
      <c r="C33" s="1">
        <v>0</v>
      </c>
      <c r="D33" s="1">
        <v>0</v>
      </c>
      <c r="E33" s="1">
        <v>0.374</v>
      </c>
      <c r="F33" s="1">
        <v>0.104</v>
      </c>
      <c r="G33" s="1">
        <v>0.23300000000000001</v>
      </c>
      <c r="H33" s="1">
        <v>0.17799999999999999</v>
      </c>
      <c r="I33" s="1">
        <v>1.8499999999999999E-2</v>
      </c>
      <c r="J33" s="1">
        <v>9.8999999999999999E-4</v>
      </c>
      <c r="K33" s="1">
        <v>0</v>
      </c>
      <c r="L33" s="1">
        <v>0</v>
      </c>
      <c r="M33" s="1">
        <v>8.8700000000000001E-2</v>
      </c>
    </row>
    <row r="34" spans="1:13" x14ac:dyDescent="0.2">
      <c r="A34" t="s">
        <v>657</v>
      </c>
      <c r="B34" s="1">
        <v>5.5500000000000005E-4</v>
      </c>
      <c r="C34" s="1">
        <v>0</v>
      </c>
      <c r="D34" s="1">
        <v>0</v>
      </c>
      <c r="E34" s="1">
        <v>0.33700000000000002</v>
      </c>
      <c r="F34" s="1">
        <v>8.9300000000000004E-2</v>
      </c>
      <c r="G34" s="1">
        <v>0.22500000000000001</v>
      </c>
      <c r="H34" s="1">
        <v>0.24199999999999999</v>
      </c>
      <c r="I34" s="1">
        <v>2.53E-2</v>
      </c>
      <c r="J34" s="1">
        <v>9.2500000000000004E-4</v>
      </c>
      <c r="K34" s="1">
        <v>0</v>
      </c>
      <c r="L34" s="1">
        <v>0</v>
      </c>
      <c r="M34" s="1">
        <v>7.9899999999999999E-2</v>
      </c>
    </row>
    <row r="35" spans="1:13" x14ac:dyDescent="0.2">
      <c r="A35" t="s">
        <v>658</v>
      </c>
      <c r="B35" s="1">
        <v>1.06E-2</v>
      </c>
      <c r="C35" s="1">
        <v>0</v>
      </c>
      <c r="D35" s="1">
        <v>0</v>
      </c>
      <c r="E35" s="1">
        <v>6.8400000000000002E-2</v>
      </c>
      <c r="F35" s="1">
        <v>3.4500000000000003E-2</v>
      </c>
      <c r="G35" s="1">
        <v>1.06E-2</v>
      </c>
      <c r="H35" s="1">
        <v>0.123</v>
      </c>
      <c r="I35" s="1">
        <v>1.52E-2</v>
      </c>
      <c r="J35" s="1">
        <v>2.8199999999999999E-2</v>
      </c>
      <c r="K35" s="1">
        <v>0.109</v>
      </c>
      <c r="L35" s="1">
        <v>7.2300000000000003E-2</v>
      </c>
      <c r="M35" s="1">
        <v>0.52800000000000002</v>
      </c>
    </row>
    <row r="36" spans="1:13" x14ac:dyDescent="0.2">
      <c r="A36" t="s">
        <v>659</v>
      </c>
      <c r="B36" s="1">
        <v>8.7500000000000008E-3</v>
      </c>
      <c r="C36" s="1">
        <v>0</v>
      </c>
      <c r="D36" s="1">
        <v>0</v>
      </c>
      <c r="E36" s="1">
        <v>5.16E-2</v>
      </c>
      <c r="F36" s="1">
        <v>8.4699999999999998E-2</v>
      </c>
      <c r="G36" s="1">
        <v>2.2200000000000001E-2</v>
      </c>
      <c r="H36" s="1">
        <v>5.1900000000000002E-2</v>
      </c>
      <c r="I36" s="1">
        <v>9.8099999999999993E-3</v>
      </c>
      <c r="J36" s="1">
        <v>1.7500000000000002E-2</v>
      </c>
      <c r="K36" s="1">
        <v>0.35399999999999998</v>
      </c>
      <c r="L36" s="1">
        <v>0</v>
      </c>
      <c r="M36" s="1">
        <v>0.4</v>
      </c>
    </row>
    <row r="37" spans="1:13" x14ac:dyDescent="0.2">
      <c r="A37" t="s">
        <v>660</v>
      </c>
      <c r="B37" s="1">
        <v>1.6E-2</v>
      </c>
      <c r="C37" s="1">
        <v>0</v>
      </c>
      <c r="D37" s="1">
        <v>0</v>
      </c>
      <c r="E37" s="1">
        <v>1.4999999999999999E-2</v>
      </c>
      <c r="F37" s="1">
        <v>1.0699999999999999E-2</v>
      </c>
      <c r="G37" s="1">
        <v>3.3000000000000002E-2</v>
      </c>
      <c r="H37" s="1">
        <v>1.78E-2</v>
      </c>
      <c r="I37" s="1">
        <v>0</v>
      </c>
      <c r="J37" s="1">
        <v>4.79E-3</v>
      </c>
      <c r="K37" s="1">
        <v>1.04E-2</v>
      </c>
      <c r="L37" s="1">
        <v>0.71699999999999997</v>
      </c>
      <c r="M37" s="1">
        <v>0.17599999999999999</v>
      </c>
    </row>
    <row r="38" spans="1:13" x14ac:dyDescent="0.2">
      <c r="A38" t="s">
        <v>661</v>
      </c>
      <c r="B38" s="1">
        <v>0</v>
      </c>
      <c r="C38" s="1">
        <v>0</v>
      </c>
      <c r="D38" s="1">
        <v>0</v>
      </c>
      <c r="E38" s="1">
        <v>2.1499999999999998E-2</v>
      </c>
      <c r="F38" s="1">
        <v>0.14799999999999999</v>
      </c>
      <c r="G38" s="1">
        <v>0.151</v>
      </c>
      <c r="H38" s="1">
        <v>0</v>
      </c>
      <c r="I38" s="1">
        <v>0</v>
      </c>
      <c r="J38" s="1">
        <v>2.06E-2</v>
      </c>
      <c r="K38" s="1">
        <v>0.13900000000000001</v>
      </c>
      <c r="L38" s="1">
        <v>0</v>
      </c>
      <c r="M38" s="1">
        <v>0.52</v>
      </c>
    </row>
    <row r="39" spans="1:13" x14ac:dyDescent="0.2">
      <c r="A39" t="s">
        <v>662</v>
      </c>
      <c r="B39" s="1">
        <v>0</v>
      </c>
      <c r="C39" s="1">
        <v>0</v>
      </c>
      <c r="D39" s="1">
        <v>0</v>
      </c>
      <c r="E39" s="1">
        <v>9.6600000000000005E-2</v>
      </c>
      <c r="F39" s="1">
        <v>2.3E-2</v>
      </c>
      <c r="G39" s="1">
        <v>0.16300000000000001</v>
      </c>
      <c r="H39" s="1">
        <v>0.14299999999999999</v>
      </c>
      <c r="I39" s="1">
        <v>0.03</v>
      </c>
      <c r="J39" s="1">
        <v>2.7199999999999998E-2</v>
      </c>
      <c r="K39" s="1">
        <v>6.1499999999999999E-2</v>
      </c>
      <c r="L39" s="1">
        <v>3.6400000000000002E-2</v>
      </c>
      <c r="M39" s="1">
        <v>0.41899999999999998</v>
      </c>
    </row>
    <row r="40" spans="1:13" x14ac:dyDescent="0.2">
      <c r="A40" t="s">
        <v>663</v>
      </c>
      <c r="B40" s="1">
        <v>0</v>
      </c>
      <c r="C40" s="1">
        <v>0</v>
      </c>
      <c r="D40" s="1">
        <v>0</v>
      </c>
      <c r="E40" s="1">
        <v>2.8300000000000001E-3</v>
      </c>
      <c r="F40" s="1">
        <v>7.4099999999999999E-3</v>
      </c>
      <c r="G40" s="1">
        <v>1.03E-2</v>
      </c>
      <c r="H40" s="1">
        <v>2.31E-3</v>
      </c>
      <c r="I40" s="1">
        <v>0</v>
      </c>
      <c r="J40" s="1">
        <v>1.74E-3</v>
      </c>
      <c r="K40" s="1">
        <v>4.3400000000000001E-3</v>
      </c>
      <c r="L40" s="1">
        <v>0.93100000000000005</v>
      </c>
      <c r="M40" s="1">
        <v>4.0399999999999998E-2</v>
      </c>
    </row>
    <row r="41" spans="1:13" x14ac:dyDescent="0.2">
      <c r="A41" t="s">
        <v>664</v>
      </c>
      <c r="B41" s="1">
        <v>0</v>
      </c>
      <c r="C41" s="1">
        <v>0</v>
      </c>
      <c r="D41" s="1">
        <v>0</v>
      </c>
      <c r="E41" s="1">
        <v>5.3999999999999999E-2</v>
      </c>
      <c r="F41" s="1">
        <v>0.11899999999999999</v>
      </c>
      <c r="G41" s="1">
        <v>0.20200000000000001</v>
      </c>
      <c r="H41" s="1">
        <v>3.9800000000000002E-2</v>
      </c>
      <c r="I41" s="1">
        <v>0</v>
      </c>
      <c r="J41" s="1">
        <v>1.6299999999999999E-2</v>
      </c>
      <c r="K41" s="1">
        <v>3.5499999999999997E-2</v>
      </c>
      <c r="L41" s="1">
        <v>0</v>
      </c>
      <c r="M41" s="1">
        <v>0.53300000000000003</v>
      </c>
    </row>
    <row r="42" spans="1:13" x14ac:dyDescent="0.2">
      <c r="A42" t="s">
        <v>665</v>
      </c>
      <c r="B42" s="1">
        <v>0.93700000000000006</v>
      </c>
      <c r="C42" s="1">
        <v>0</v>
      </c>
      <c r="D42" s="1">
        <v>0</v>
      </c>
      <c r="E42" s="1">
        <v>1.39E-3</v>
      </c>
      <c r="F42" s="1">
        <v>1.4599999999999999E-3</v>
      </c>
      <c r="G42" s="1">
        <v>1.58E-3</v>
      </c>
      <c r="H42" s="1">
        <v>4.9399999999999999E-3</v>
      </c>
      <c r="I42" s="1">
        <v>1.34E-3</v>
      </c>
      <c r="J42" s="1">
        <v>4.2499999999999998E-4</v>
      </c>
      <c r="K42" s="1">
        <v>0</v>
      </c>
      <c r="L42" s="1">
        <v>0</v>
      </c>
      <c r="M42" s="1">
        <v>5.21E-2</v>
      </c>
    </row>
    <row r="43" spans="1:13" x14ac:dyDescent="0.2">
      <c r="A43" t="s">
        <v>666</v>
      </c>
      <c r="B43" s="1">
        <v>0.154</v>
      </c>
      <c r="C43" s="1">
        <v>0</v>
      </c>
      <c r="D43" s="1">
        <v>0</v>
      </c>
      <c r="E43" s="1">
        <v>0.115</v>
      </c>
      <c r="F43" s="1">
        <v>1.9900000000000001E-2</v>
      </c>
      <c r="G43" s="1">
        <v>3.2500000000000001E-2</v>
      </c>
      <c r="H43" s="1">
        <v>0.308</v>
      </c>
      <c r="I43" s="1">
        <v>5.7599999999999998E-2</v>
      </c>
      <c r="J43" s="1">
        <v>1.32E-2</v>
      </c>
      <c r="K43" s="1">
        <v>0</v>
      </c>
      <c r="L43" s="1">
        <v>0</v>
      </c>
      <c r="M43" s="1">
        <v>0.29899999999999999</v>
      </c>
    </row>
    <row r="44" spans="1:13" x14ac:dyDescent="0.2">
      <c r="A44" t="s">
        <v>667</v>
      </c>
      <c r="B44" s="1">
        <v>0</v>
      </c>
      <c r="C44" s="1">
        <v>0</v>
      </c>
      <c r="D44" s="1">
        <v>0</v>
      </c>
      <c r="E44" s="1">
        <v>0.11799999999999999</v>
      </c>
      <c r="F44" s="1">
        <v>0.26</v>
      </c>
      <c r="G44" s="1">
        <v>0.22700000000000001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0.39600000000000002</v>
      </c>
    </row>
    <row r="45" spans="1:13" x14ac:dyDescent="0.2">
      <c r="A45" t="s">
        <v>668</v>
      </c>
      <c r="B45" s="1">
        <v>0.215</v>
      </c>
      <c r="C45" s="1">
        <v>0</v>
      </c>
      <c r="D45" s="1">
        <v>0</v>
      </c>
      <c r="E45" s="1">
        <v>3.85E-2</v>
      </c>
      <c r="F45" s="1">
        <v>7.0999999999999994E-2</v>
      </c>
      <c r="G45" s="1">
        <v>0.109</v>
      </c>
      <c r="H45" s="1">
        <v>9.0200000000000002E-2</v>
      </c>
      <c r="I45" s="1">
        <v>4.9700000000000001E-2</v>
      </c>
      <c r="J45" s="1">
        <v>4.3099999999999999E-2</v>
      </c>
      <c r="K45" s="1">
        <v>0</v>
      </c>
      <c r="L45" s="1">
        <v>0</v>
      </c>
      <c r="M45" s="1">
        <v>0.38300000000000001</v>
      </c>
    </row>
    <row r="46" spans="1:13" x14ac:dyDescent="0.2">
      <c r="A46" t="s">
        <v>669</v>
      </c>
      <c r="B46" s="1">
        <v>9.2100000000000001E-2</v>
      </c>
      <c r="C46" s="1">
        <v>0</v>
      </c>
      <c r="D46" s="1">
        <v>0</v>
      </c>
      <c r="E46" s="1">
        <v>7.0199999999999999E-2</v>
      </c>
      <c r="F46" s="1">
        <v>1.38E-2</v>
      </c>
      <c r="G46" s="1">
        <v>4.5400000000000003E-2</v>
      </c>
      <c r="H46" s="1">
        <v>0.36</v>
      </c>
      <c r="I46" s="1">
        <v>7.5999999999999998E-2</v>
      </c>
      <c r="J46" s="1">
        <v>7.9100000000000004E-3</v>
      </c>
      <c r="K46" s="1">
        <v>0</v>
      </c>
      <c r="L46" s="1">
        <v>0</v>
      </c>
      <c r="M46" s="1">
        <v>0.33300000000000002</v>
      </c>
    </row>
    <row r="47" spans="1:13" x14ac:dyDescent="0.2">
      <c r="A47" t="s">
        <v>670</v>
      </c>
      <c r="B47" s="1">
        <v>2.41E-2</v>
      </c>
      <c r="C47" s="1">
        <v>0</v>
      </c>
      <c r="D47" s="1">
        <v>0</v>
      </c>
      <c r="E47" s="1">
        <v>0.127</v>
      </c>
      <c r="F47" s="1">
        <v>6.8900000000000003E-2</v>
      </c>
      <c r="G47" s="1">
        <v>5.7000000000000002E-2</v>
      </c>
      <c r="H47" s="1">
        <v>0.19900000000000001</v>
      </c>
      <c r="I47" s="1">
        <v>4.48E-2</v>
      </c>
      <c r="J47" s="1">
        <v>3.9699999999999996E-3</v>
      </c>
      <c r="K47" s="1">
        <v>0.22900000000000001</v>
      </c>
      <c r="L47" s="1">
        <v>9.4399999999999998E-2</v>
      </c>
      <c r="M47" s="1">
        <v>0.152</v>
      </c>
    </row>
    <row r="48" spans="1:13" x14ac:dyDescent="0.2">
      <c r="A48" t="s">
        <v>671</v>
      </c>
      <c r="B48" s="1">
        <v>7.1300000000000001E-3</v>
      </c>
      <c r="C48" s="1">
        <v>0</v>
      </c>
      <c r="D48" s="1">
        <v>0</v>
      </c>
      <c r="E48" s="1">
        <v>8.6199999999999999E-2</v>
      </c>
      <c r="F48" s="1">
        <v>0.11899999999999999</v>
      </c>
      <c r="G48" s="1">
        <v>2.86E-2</v>
      </c>
      <c r="H48" s="1">
        <v>9.2899999999999996E-2</v>
      </c>
      <c r="I48" s="1">
        <v>1.6E-2</v>
      </c>
      <c r="J48" s="1">
        <v>3.49E-3</v>
      </c>
      <c r="K48" s="1">
        <v>0.51400000000000001</v>
      </c>
      <c r="L48" s="1">
        <v>0</v>
      </c>
      <c r="M48" s="1">
        <v>0.13300000000000001</v>
      </c>
    </row>
    <row r="49" spans="1:13" x14ac:dyDescent="0.2">
      <c r="A49" t="s">
        <v>672</v>
      </c>
      <c r="B49" s="1">
        <v>6.0299999999999998E-3</v>
      </c>
      <c r="C49" s="1">
        <v>0</v>
      </c>
      <c r="D49" s="1">
        <v>0</v>
      </c>
      <c r="E49" s="1">
        <v>1.24E-3</v>
      </c>
      <c r="F49" s="1">
        <v>4.45E-3</v>
      </c>
      <c r="G49" s="1">
        <v>2.14E-3</v>
      </c>
      <c r="H49" s="1">
        <v>1.25E-3</v>
      </c>
      <c r="I49" s="1">
        <v>0</v>
      </c>
      <c r="J49" s="1">
        <v>0</v>
      </c>
      <c r="K49" s="1">
        <v>3.13E-3</v>
      </c>
      <c r="L49" s="1">
        <v>0.95599999999999996</v>
      </c>
      <c r="M49" s="1">
        <v>2.5999999999999999E-2</v>
      </c>
    </row>
    <row r="50" spans="1:13" x14ac:dyDescent="0.2">
      <c r="A50" t="s">
        <v>673</v>
      </c>
      <c r="B50" s="1">
        <v>0</v>
      </c>
      <c r="C50" s="1">
        <v>0</v>
      </c>
      <c r="D50" s="1">
        <v>0</v>
      </c>
      <c r="E50" s="1">
        <v>0.20699999999999999</v>
      </c>
      <c r="F50" s="1">
        <v>8.72E-2</v>
      </c>
      <c r="G50" s="1">
        <v>0.23699999999999999</v>
      </c>
      <c r="H50" s="1">
        <v>0.16600000000000001</v>
      </c>
      <c r="I50" s="1">
        <v>7.1400000000000005E-2</v>
      </c>
      <c r="J50" s="1">
        <v>3.8700000000000002E-3</v>
      </c>
      <c r="K50" s="1">
        <v>4.4400000000000002E-2</v>
      </c>
      <c r="L50" s="1">
        <v>0</v>
      </c>
      <c r="M50" s="1">
        <v>0.184</v>
      </c>
    </row>
    <row r="51" spans="1:13" x14ac:dyDescent="0.2">
      <c r="A51" t="s">
        <v>674</v>
      </c>
      <c r="B51" s="1">
        <v>0</v>
      </c>
      <c r="C51" s="1">
        <v>0</v>
      </c>
      <c r="D51" s="1">
        <v>0</v>
      </c>
      <c r="E51" s="1">
        <v>0.13400000000000001</v>
      </c>
      <c r="F51" s="1">
        <v>4.36E-2</v>
      </c>
      <c r="G51" s="1">
        <v>0.254</v>
      </c>
      <c r="H51" s="1">
        <v>0.15</v>
      </c>
      <c r="I51" s="1">
        <v>4.6399999999999997E-2</v>
      </c>
      <c r="J51" s="1">
        <v>4.0400000000000002E-3</v>
      </c>
      <c r="K51" s="1">
        <v>0.21299999999999999</v>
      </c>
      <c r="L51" s="1">
        <v>0</v>
      </c>
      <c r="M51" s="1">
        <v>0.154</v>
      </c>
    </row>
    <row r="52" spans="1:13" x14ac:dyDescent="0.2">
      <c r="A52" t="s">
        <v>675</v>
      </c>
      <c r="B52" s="1">
        <v>0</v>
      </c>
      <c r="C52" s="1">
        <v>0</v>
      </c>
      <c r="D52" s="1">
        <v>0</v>
      </c>
      <c r="E52" s="1">
        <v>3.32E-3</v>
      </c>
      <c r="F52" s="1">
        <v>8.6999999999999994E-3</v>
      </c>
      <c r="G52" s="1">
        <v>1.6899999999999998E-2</v>
      </c>
      <c r="H52" s="1">
        <v>5.3899999999999998E-3</v>
      </c>
      <c r="I52" s="1">
        <v>0</v>
      </c>
      <c r="J52" s="1">
        <v>0</v>
      </c>
      <c r="K52" s="1">
        <v>7.2899999999999996E-3</v>
      </c>
      <c r="L52" s="1">
        <v>0.94699999999999995</v>
      </c>
      <c r="M52" s="1">
        <v>1.1299999999999999E-2</v>
      </c>
    </row>
    <row r="53" spans="1:13" x14ac:dyDescent="0.2">
      <c r="A53" t="s">
        <v>676</v>
      </c>
      <c r="B53" s="1">
        <v>0</v>
      </c>
      <c r="C53" s="1">
        <v>0</v>
      </c>
      <c r="D53" s="1">
        <v>0</v>
      </c>
      <c r="E53" s="1">
        <v>3.2800000000000003E-2</v>
      </c>
      <c r="F53" s="1">
        <v>0.152</v>
      </c>
      <c r="G53" s="1">
        <v>0.44600000000000001</v>
      </c>
      <c r="H53" s="1">
        <v>4.0099999999999997E-2</v>
      </c>
      <c r="I53" s="1">
        <v>0</v>
      </c>
      <c r="J53" s="1">
        <v>5.8599999999999998E-3</v>
      </c>
      <c r="K53" s="1">
        <v>0.111</v>
      </c>
      <c r="L53" s="1">
        <v>0</v>
      </c>
      <c r="M53" s="1">
        <v>0.21199999999999999</v>
      </c>
    </row>
    <row r="54" spans="1:13" x14ac:dyDescent="0.2">
      <c r="A54" t="s">
        <v>677</v>
      </c>
      <c r="B54" s="1">
        <v>0.33800000000000002</v>
      </c>
      <c r="C54" s="1">
        <v>0</v>
      </c>
      <c r="D54" s="1">
        <v>0</v>
      </c>
      <c r="E54" s="1">
        <v>1.1900000000000001E-2</v>
      </c>
      <c r="F54" s="1">
        <v>1.29E-2</v>
      </c>
      <c r="G54" s="1">
        <v>3.1099999999999999E-2</v>
      </c>
      <c r="H54" s="1">
        <v>2.2800000000000001E-2</v>
      </c>
      <c r="I54" s="1">
        <v>0</v>
      </c>
      <c r="J54" s="1">
        <v>8.3499999999999998E-3</v>
      </c>
      <c r="K54" s="1">
        <v>0</v>
      </c>
      <c r="L54" s="1">
        <v>0</v>
      </c>
      <c r="M54" s="1">
        <v>0.57499999999999996</v>
      </c>
    </row>
    <row r="55" spans="1:13" x14ac:dyDescent="0.2">
      <c r="A55" t="s">
        <v>678</v>
      </c>
      <c r="B55" s="1">
        <v>1.52E-2</v>
      </c>
      <c r="C55" s="1">
        <v>0</v>
      </c>
      <c r="D55" s="1">
        <v>0</v>
      </c>
      <c r="E55" s="1">
        <v>5.0599999999999999E-2</v>
      </c>
      <c r="F55" s="1">
        <v>3.7400000000000003E-2</v>
      </c>
      <c r="G55" s="1">
        <v>7.6200000000000004E-2</v>
      </c>
      <c r="H55" s="1">
        <v>0.67100000000000004</v>
      </c>
      <c r="I55" s="1">
        <v>0.113</v>
      </c>
      <c r="J55" s="1">
        <v>0</v>
      </c>
      <c r="K55" s="1">
        <v>0</v>
      </c>
      <c r="L55" s="1">
        <v>0</v>
      </c>
      <c r="M55" s="1">
        <v>3.6600000000000001E-2</v>
      </c>
    </row>
    <row r="56" spans="1:13" x14ac:dyDescent="0.2">
      <c r="A56" t="s">
        <v>679</v>
      </c>
      <c r="B56" s="1">
        <v>0.156</v>
      </c>
      <c r="C56" s="1">
        <v>0</v>
      </c>
      <c r="D56" s="1">
        <v>0</v>
      </c>
      <c r="E56" s="1">
        <v>0.39200000000000002</v>
      </c>
      <c r="F56" s="1">
        <v>1.54E-2</v>
      </c>
      <c r="G56" s="1">
        <v>0.22900000000000001</v>
      </c>
      <c r="H56" s="1">
        <v>8.1900000000000001E-2</v>
      </c>
      <c r="I56" s="1">
        <v>4.2099999999999999E-2</v>
      </c>
      <c r="J56" s="1">
        <v>0</v>
      </c>
      <c r="K56" s="1">
        <v>0</v>
      </c>
      <c r="L56" s="1">
        <v>0</v>
      </c>
      <c r="M56" s="1">
        <v>8.09E-2</v>
      </c>
    </row>
    <row r="57" spans="1:13" x14ac:dyDescent="0.2">
      <c r="A57" t="s">
        <v>680</v>
      </c>
      <c r="B57" s="1">
        <v>8.6900000000000005E-2</v>
      </c>
      <c r="C57" s="1">
        <v>0</v>
      </c>
      <c r="D57" s="1">
        <v>0</v>
      </c>
      <c r="E57" s="1">
        <v>4.2599999999999999E-2</v>
      </c>
      <c r="F57" s="1">
        <v>2.7300000000000001E-2</v>
      </c>
      <c r="G57" s="1">
        <v>8.2199999999999995E-2</v>
      </c>
      <c r="H57" s="1">
        <v>0.28999999999999998</v>
      </c>
      <c r="I57" s="1">
        <v>8.0100000000000005E-2</v>
      </c>
      <c r="J57" s="1">
        <v>3.3700000000000001E-2</v>
      </c>
      <c r="K57" s="1">
        <v>0</v>
      </c>
      <c r="L57" s="1">
        <v>0</v>
      </c>
      <c r="M57" s="1">
        <v>0.35599999999999998</v>
      </c>
    </row>
    <row r="58" spans="1:13" x14ac:dyDescent="0.2">
      <c r="A58" t="s">
        <v>681</v>
      </c>
      <c r="B58" s="1">
        <v>0.17399999999999999</v>
      </c>
      <c r="C58" s="1">
        <v>0</v>
      </c>
      <c r="D58" s="1">
        <v>0</v>
      </c>
      <c r="E58" s="1">
        <v>5.2400000000000002E-2</v>
      </c>
      <c r="F58" s="1">
        <v>2.7000000000000001E-3</v>
      </c>
      <c r="G58" s="1">
        <v>2.8799999999999999E-2</v>
      </c>
      <c r="H58" s="1">
        <v>0.39400000000000002</v>
      </c>
      <c r="I58" s="1">
        <v>7.8600000000000003E-2</v>
      </c>
      <c r="J58" s="1">
        <v>6.2700000000000004E-3</v>
      </c>
      <c r="K58" s="1">
        <v>0</v>
      </c>
      <c r="L58" s="1">
        <v>0</v>
      </c>
      <c r="M58" s="1">
        <v>0.26</v>
      </c>
    </row>
    <row r="59" spans="1:13" x14ac:dyDescent="0.2">
      <c r="A59" t="s">
        <v>682</v>
      </c>
      <c r="B59" s="1">
        <v>1.7899999999999999E-4</v>
      </c>
      <c r="C59" s="1">
        <v>0</v>
      </c>
      <c r="D59" s="1">
        <v>0</v>
      </c>
      <c r="E59" s="1">
        <v>5.8000000000000003E-2</v>
      </c>
      <c r="F59" s="1">
        <v>4.7500000000000001E-2</v>
      </c>
      <c r="G59" s="1">
        <v>0.152</v>
      </c>
      <c r="H59" s="1">
        <v>4.7500000000000001E-2</v>
      </c>
      <c r="I59" s="1">
        <v>2.3400000000000001E-2</v>
      </c>
      <c r="J59" s="1">
        <v>6.5399999999999996E-4</v>
      </c>
      <c r="K59" s="1">
        <v>0.625</v>
      </c>
      <c r="L59" s="1">
        <v>0</v>
      </c>
      <c r="M59" s="1">
        <v>4.53E-2</v>
      </c>
    </row>
    <row r="60" spans="1:13" x14ac:dyDescent="0.2">
      <c r="A60" t="s">
        <v>683</v>
      </c>
      <c r="B60" s="1">
        <v>3.6099999999999999E-4</v>
      </c>
      <c r="C60" s="1">
        <v>0</v>
      </c>
      <c r="D60" s="1">
        <v>0</v>
      </c>
      <c r="E60" s="1">
        <v>8.1799999999999998E-2</v>
      </c>
      <c r="F60" s="1">
        <v>5.1999999999999998E-2</v>
      </c>
      <c r="G60" s="1">
        <v>9.8400000000000001E-2</v>
      </c>
      <c r="H60" s="1">
        <v>5.2999999999999999E-2</v>
      </c>
      <c r="I60" s="1">
        <v>1.34E-2</v>
      </c>
      <c r="J60" s="1">
        <v>1.82E-3</v>
      </c>
      <c r="K60" s="1">
        <v>0.65800000000000003</v>
      </c>
      <c r="L60" s="1">
        <v>0</v>
      </c>
      <c r="M60" s="1">
        <v>4.1599999999999998E-2</v>
      </c>
    </row>
    <row r="61" spans="1:13" x14ac:dyDescent="0.2">
      <c r="A61" t="s">
        <v>684</v>
      </c>
      <c r="B61" s="1">
        <v>1.7100000000000001E-4</v>
      </c>
      <c r="C61" s="1">
        <v>0</v>
      </c>
      <c r="D61" s="1">
        <v>0</v>
      </c>
      <c r="E61" s="1">
        <v>7.4300000000000005E-2</v>
      </c>
      <c r="F61" s="1">
        <v>0.114</v>
      </c>
      <c r="G61" s="1">
        <v>0.19800000000000001</v>
      </c>
      <c r="H61" s="1">
        <v>5.6899999999999999E-2</v>
      </c>
      <c r="I61" s="1">
        <v>2.1100000000000001E-2</v>
      </c>
      <c r="J61" s="1">
        <v>1.5900000000000001E-3</v>
      </c>
      <c r="K61" s="1">
        <v>0.46100000000000002</v>
      </c>
      <c r="L61" s="1">
        <v>0</v>
      </c>
      <c r="M61" s="1">
        <v>7.3200000000000001E-2</v>
      </c>
    </row>
    <row r="62" spans="1:13" x14ac:dyDescent="0.2">
      <c r="A62" t="s">
        <v>685</v>
      </c>
      <c r="B62" s="1">
        <v>4.1800000000000002E-4</v>
      </c>
      <c r="C62" s="1">
        <v>0</v>
      </c>
      <c r="D62" s="1">
        <v>0</v>
      </c>
      <c r="E62" s="1">
        <v>8.3400000000000002E-2</v>
      </c>
      <c r="F62" s="1">
        <v>3.9899999999999998E-2</v>
      </c>
      <c r="G62" s="1">
        <v>9.2899999999999996E-2</v>
      </c>
      <c r="H62" s="1">
        <v>6.1800000000000001E-2</v>
      </c>
      <c r="I62" s="1">
        <v>2.1299999999999999E-2</v>
      </c>
      <c r="J62" s="1">
        <v>1.58E-3</v>
      </c>
      <c r="K62" s="1">
        <v>0.64200000000000002</v>
      </c>
      <c r="L62" s="1">
        <v>0</v>
      </c>
      <c r="M62" s="1">
        <v>5.6599999999999998E-2</v>
      </c>
    </row>
    <row r="63" spans="1:13" x14ac:dyDescent="0.2">
      <c r="A63" t="s">
        <v>686</v>
      </c>
      <c r="B63" s="1">
        <v>2.1800000000000001E-4</v>
      </c>
      <c r="C63" s="1">
        <v>0</v>
      </c>
      <c r="D63" s="1">
        <v>0</v>
      </c>
      <c r="E63" s="1">
        <v>4.3400000000000001E-2</v>
      </c>
      <c r="F63" s="1">
        <v>8.5800000000000001E-2</v>
      </c>
      <c r="G63" s="1">
        <v>0.128</v>
      </c>
      <c r="H63" s="1">
        <v>3.3599999999999998E-2</v>
      </c>
      <c r="I63" s="1">
        <v>7.7299999999999999E-3</v>
      </c>
      <c r="J63" s="1">
        <v>6.6800000000000002E-3</v>
      </c>
      <c r="K63" s="1">
        <v>0.436</v>
      </c>
      <c r="L63" s="1">
        <v>0</v>
      </c>
      <c r="M63" s="1">
        <v>0.25800000000000001</v>
      </c>
    </row>
    <row r="64" spans="1:13" x14ac:dyDescent="0.2">
      <c r="A64" t="s">
        <v>687</v>
      </c>
      <c r="B64" s="1">
        <v>0</v>
      </c>
      <c r="C64" s="1">
        <v>0</v>
      </c>
      <c r="D64" s="1">
        <v>0</v>
      </c>
      <c r="E64" s="1">
        <v>4.7899999999999998E-2</v>
      </c>
      <c r="F64" s="1">
        <v>9.7000000000000003E-2</v>
      </c>
      <c r="G64" s="1">
        <v>0.128</v>
      </c>
      <c r="H64" s="1">
        <v>4.7100000000000003E-2</v>
      </c>
      <c r="I64" s="1">
        <v>1.7399999999999999E-2</v>
      </c>
      <c r="J64" s="1">
        <v>6.3400000000000001E-3</v>
      </c>
      <c r="K64" s="1">
        <v>0.47399999999999998</v>
      </c>
      <c r="L64" s="1">
        <v>2.3800000000000002E-3</v>
      </c>
      <c r="M64" s="1">
        <v>0.18</v>
      </c>
    </row>
    <row r="65" spans="1:13" x14ac:dyDescent="0.2">
      <c r="A65" t="s">
        <v>688</v>
      </c>
      <c r="B65" s="1">
        <v>0</v>
      </c>
      <c r="C65" s="1">
        <v>0</v>
      </c>
      <c r="D65" s="1">
        <v>0</v>
      </c>
      <c r="E65" s="1">
        <v>8.2400000000000001E-2</v>
      </c>
      <c r="F65" s="1">
        <v>5.21E-2</v>
      </c>
      <c r="G65" s="1">
        <v>8.3099999999999993E-2</v>
      </c>
      <c r="H65" s="1">
        <v>5.2499999999999998E-2</v>
      </c>
      <c r="I65" s="1">
        <v>2.75E-2</v>
      </c>
      <c r="J65" s="1">
        <v>2.9299999999999999E-3</v>
      </c>
      <c r="K65" s="1">
        <v>0.57799999999999996</v>
      </c>
      <c r="L65" s="1">
        <v>0</v>
      </c>
      <c r="M65" s="1">
        <v>0.122</v>
      </c>
    </row>
    <row r="66" spans="1:13" x14ac:dyDescent="0.2">
      <c r="A66" t="s">
        <v>689</v>
      </c>
      <c r="B66" s="1">
        <v>0</v>
      </c>
      <c r="C66" s="1">
        <v>0</v>
      </c>
      <c r="D66" s="1">
        <v>0</v>
      </c>
      <c r="E66" s="1">
        <v>6.88E-2</v>
      </c>
      <c r="F66" s="1">
        <v>4.6699999999999998E-2</v>
      </c>
      <c r="G66" s="1">
        <v>0.156</v>
      </c>
      <c r="H66" s="1">
        <v>0.06</v>
      </c>
      <c r="I66" s="1">
        <v>1.9199999999999998E-2</v>
      </c>
      <c r="J66" s="1">
        <v>3.5500000000000002E-3</v>
      </c>
      <c r="K66" s="1">
        <v>0.47699999999999998</v>
      </c>
      <c r="L66" s="1">
        <v>0</v>
      </c>
      <c r="M66" s="1">
        <v>0.16900000000000001</v>
      </c>
    </row>
    <row r="67" spans="1:13" x14ac:dyDescent="0.2">
      <c r="A67" t="s">
        <v>690</v>
      </c>
      <c r="B67" s="1">
        <v>0</v>
      </c>
      <c r="C67" s="1">
        <v>0</v>
      </c>
      <c r="D67" s="1">
        <v>0</v>
      </c>
      <c r="E67" s="1">
        <v>6.7799999999999999E-2</v>
      </c>
      <c r="F67" s="1">
        <v>6.93E-2</v>
      </c>
      <c r="G67" s="1">
        <v>7.0699999999999999E-2</v>
      </c>
      <c r="H67" s="1">
        <v>4.02E-2</v>
      </c>
      <c r="I67" s="1">
        <v>2.2700000000000001E-2</v>
      </c>
      <c r="J67" s="1">
        <v>3.3999999999999998E-3</v>
      </c>
      <c r="K67" s="1">
        <v>0.51900000000000002</v>
      </c>
      <c r="L67" s="1">
        <v>1.72E-3</v>
      </c>
      <c r="M67" s="1">
        <v>0.20499999999999999</v>
      </c>
    </row>
    <row r="68" spans="1:13" x14ac:dyDescent="0.2">
      <c r="A68" t="s">
        <v>691</v>
      </c>
      <c r="B68" s="1">
        <v>0</v>
      </c>
      <c r="C68" s="1">
        <v>0</v>
      </c>
      <c r="D68" s="1">
        <v>0</v>
      </c>
      <c r="E68" s="1">
        <v>5.7500000000000002E-2</v>
      </c>
      <c r="F68" s="1">
        <v>3.8800000000000001E-2</v>
      </c>
      <c r="G68" s="1">
        <v>8.4000000000000005E-2</v>
      </c>
      <c r="H68" s="1">
        <v>2.8799999999999999E-2</v>
      </c>
      <c r="I68" s="1">
        <v>1.9E-2</v>
      </c>
      <c r="J68" s="1">
        <v>5.8500000000000002E-3</v>
      </c>
      <c r="K68" s="1">
        <v>0.61899999999999999</v>
      </c>
      <c r="L68" s="1">
        <v>1.9499999999999999E-3</v>
      </c>
      <c r="M68" s="1">
        <v>0.14499999999999999</v>
      </c>
    </row>
    <row r="69" spans="1:13" x14ac:dyDescent="0.2">
      <c r="A69" t="s">
        <v>692</v>
      </c>
      <c r="B69" s="1">
        <v>1.8699999999999999E-3</v>
      </c>
      <c r="C69" s="1">
        <v>4.0999999999999999E-4</v>
      </c>
      <c r="D69" s="1">
        <v>0</v>
      </c>
      <c r="E69" s="1">
        <v>0.19900000000000001</v>
      </c>
      <c r="F69" s="1">
        <v>5.62E-2</v>
      </c>
      <c r="G69" s="1">
        <v>0.187</v>
      </c>
      <c r="H69" s="1">
        <v>8.2100000000000006E-2</v>
      </c>
      <c r="I69" s="1">
        <v>7.51E-2</v>
      </c>
      <c r="J69" s="1">
        <v>1.47E-2</v>
      </c>
      <c r="K69" s="1">
        <v>0</v>
      </c>
      <c r="L69" s="1">
        <v>0</v>
      </c>
      <c r="M69" s="1">
        <v>0.38500000000000001</v>
      </c>
    </row>
    <row r="70" spans="1:13" x14ac:dyDescent="0.2">
      <c r="A70" t="s">
        <v>693</v>
      </c>
      <c r="B70" s="1">
        <v>2.48E-3</v>
      </c>
      <c r="C70" s="1">
        <v>0</v>
      </c>
      <c r="D70" s="1">
        <v>0</v>
      </c>
      <c r="E70" s="1">
        <v>0.14699999999999999</v>
      </c>
      <c r="F70" s="1">
        <v>8.5800000000000001E-2</v>
      </c>
      <c r="G70" s="1">
        <v>0.28000000000000003</v>
      </c>
      <c r="H70" s="1">
        <v>6.6500000000000004E-2</v>
      </c>
      <c r="I70" s="1">
        <v>0</v>
      </c>
      <c r="J70" s="1">
        <v>4.81E-3</v>
      </c>
      <c r="K70" s="1">
        <v>0</v>
      </c>
      <c r="L70" s="1">
        <v>0</v>
      </c>
      <c r="M70" s="1">
        <v>0.41399999999999998</v>
      </c>
    </row>
    <row r="71" spans="1:13" x14ac:dyDescent="0.2">
      <c r="A71" t="s">
        <v>694</v>
      </c>
      <c r="B71" s="1">
        <v>2.3E-3</v>
      </c>
      <c r="C71" s="1">
        <v>5.5000000000000003E-4</v>
      </c>
      <c r="D71" s="1">
        <v>0</v>
      </c>
      <c r="E71" s="1">
        <v>0.26500000000000001</v>
      </c>
      <c r="F71" s="1">
        <v>4.82E-2</v>
      </c>
      <c r="G71" s="1">
        <v>0.14799999999999999</v>
      </c>
      <c r="H71" s="1">
        <v>0.115</v>
      </c>
      <c r="I71" s="1">
        <v>4.2500000000000003E-2</v>
      </c>
      <c r="J71" s="1">
        <v>1.1599999999999999E-2</v>
      </c>
      <c r="K71" s="1">
        <v>0</v>
      </c>
      <c r="L71" s="1">
        <v>0</v>
      </c>
      <c r="M71" s="1">
        <v>0.36699999999999999</v>
      </c>
    </row>
    <row r="72" spans="1:13" x14ac:dyDescent="0.2">
      <c r="A72" t="s">
        <v>695</v>
      </c>
      <c r="B72" s="1">
        <v>9.2400000000000002E-4</v>
      </c>
      <c r="C72" s="1">
        <v>0</v>
      </c>
      <c r="D72" s="1">
        <v>0</v>
      </c>
      <c r="E72" s="1">
        <v>0.16400000000000001</v>
      </c>
      <c r="F72" s="1">
        <v>0.05</v>
      </c>
      <c r="G72" s="1">
        <v>0.17299999999999999</v>
      </c>
      <c r="H72" s="1">
        <v>9.2299999999999993E-2</v>
      </c>
      <c r="I72" s="1">
        <v>2.1399999999999999E-2</v>
      </c>
      <c r="J72" s="1">
        <v>1.0800000000000001E-2</v>
      </c>
      <c r="K72" s="1">
        <v>0</v>
      </c>
      <c r="L72" s="1">
        <v>0</v>
      </c>
      <c r="M72" s="1">
        <v>0.48799999999999999</v>
      </c>
    </row>
    <row r="73" spans="1:13" x14ac:dyDescent="0.2">
      <c r="A73" t="s">
        <v>696</v>
      </c>
      <c r="B73" s="1">
        <v>4.9600000000000002E-4</v>
      </c>
      <c r="C73" s="1">
        <v>0</v>
      </c>
      <c r="D73" s="1">
        <v>0</v>
      </c>
      <c r="E73" s="1">
        <v>0.21</v>
      </c>
      <c r="F73" s="1">
        <v>5.7099999999999998E-2</v>
      </c>
      <c r="G73" s="1">
        <v>0.23200000000000001</v>
      </c>
      <c r="H73" s="1">
        <v>9.8400000000000001E-2</v>
      </c>
      <c r="I73" s="1">
        <v>3.5000000000000003E-2</v>
      </c>
      <c r="J73" s="1">
        <v>6.9800000000000001E-3</v>
      </c>
      <c r="K73" s="1">
        <v>0</v>
      </c>
      <c r="L73" s="1">
        <v>0</v>
      </c>
      <c r="M73" s="1">
        <v>0.36099999999999999</v>
      </c>
    </row>
    <row r="74" spans="1:13" x14ac:dyDescent="0.2">
      <c r="A74" t="s">
        <v>697</v>
      </c>
      <c r="B74" s="1">
        <v>1.1000000000000001E-3</v>
      </c>
      <c r="C74" s="1">
        <v>0</v>
      </c>
      <c r="D74" s="1">
        <v>0</v>
      </c>
      <c r="E74" s="1">
        <v>0</v>
      </c>
      <c r="F74" s="1">
        <v>0</v>
      </c>
      <c r="G74" s="1">
        <v>0.188</v>
      </c>
      <c r="H74" s="1">
        <v>6.3100000000000003E-2</v>
      </c>
      <c r="I74" s="1">
        <v>2.3599999999999999E-2</v>
      </c>
      <c r="J74" s="1">
        <v>4.8600000000000002E-5</v>
      </c>
      <c r="K74" s="1">
        <v>0.69799999999999995</v>
      </c>
      <c r="L74" s="1">
        <v>2.64E-2</v>
      </c>
      <c r="M74" s="1">
        <v>0</v>
      </c>
    </row>
    <row r="75" spans="1:13" x14ac:dyDescent="0.2">
      <c r="A75" t="s">
        <v>698</v>
      </c>
      <c r="B75" s="1">
        <v>1.2199999999999999E-3</v>
      </c>
      <c r="C75" s="1">
        <v>0</v>
      </c>
      <c r="D75" s="1">
        <v>0</v>
      </c>
      <c r="E75" s="1">
        <v>2.9899999999999999E-2</v>
      </c>
      <c r="F75" s="1">
        <v>0</v>
      </c>
      <c r="G75" s="1">
        <v>0.16</v>
      </c>
      <c r="H75" s="1">
        <v>4.9799999999999997E-2</v>
      </c>
      <c r="I75" s="1">
        <v>1.61E-2</v>
      </c>
      <c r="J75" s="1">
        <v>8.9400000000000005E-5</v>
      </c>
      <c r="K75" s="1">
        <v>0.74199999999999999</v>
      </c>
      <c r="L75" s="1">
        <v>1.25E-3</v>
      </c>
      <c r="M75" s="1">
        <v>0</v>
      </c>
    </row>
    <row r="76" spans="1:13" x14ac:dyDescent="0.2">
      <c r="A76" t="s">
        <v>699</v>
      </c>
      <c r="B76" s="1">
        <v>7.2499999999999995E-4</v>
      </c>
      <c r="C76" s="1">
        <v>0</v>
      </c>
      <c r="D76" s="1">
        <v>0</v>
      </c>
      <c r="E76" s="1">
        <v>3.15E-2</v>
      </c>
      <c r="F76" s="1">
        <v>0</v>
      </c>
      <c r="G76" s="1">
        <v>0.222</v>
      </c>
      <c r="H76" s="1">
        <v>7.7899999999999997E-2</v>
      </c>
      <c r="I76" s="1">
        <v>9.8200000000000006E-3</v>
      </c>
      <c r="J76" s="1">
        <v>1.03E-4</v>
      </c>
      <c r="K76" s="1">
        <v>0.64300000000000002</v>
      </c>
      <c r="L76" s="1">
        <v>1.4800000000000001E-2</v>
      </c>
      <c r="M76" s="1">
        <v>0</v>
      </c>
    </row>
    <row r="77" spans="1:13" x14ac:dyDescent="0.2">
      <c r="A77" t="s">
        <v>700</v>
      </c>
      <c r="B77" s="1">
        <v>2.92E-4</v>
      </c>
      <c r="C77" s="1">
        <v>0</v>
      </c>
      <c r="D77" s="1">
        <v>0</v>
      </c>
      <c r="E77" s="1">
        <v>2.8299999999999999E-2</v>
      </c>
      <c r="F77" s="1">
        <v>0</v>
      </c>
      <c r="G77" s="1">
        <v>0.17100000000000001</v>
      </c>
      <c r="H77" s="1">
        <v>5.4300000000000001E-2</v>
      </c>
      <c r="I77" s="1">
        <v>1.0800000000000001E-2</v>
      </c>
      <c r="J77" s="1">
        <v>2.5399999999999999E-4</v>
      </c>
      <c r="K77" s="1">
        <v>0.72799999999999998</v>
      </c>
      <c r="L77" s="1">
        <v>6.8300000000000001E-3</v>
      </c>
      <c r="M77" s="1">
        <v>0</v>
      </c>
    </row>
    <row r="78" spans="1:13" x14ac:dyDescent="0.2">
      <c r="A78" t="s">
        <v>701</v>
      </c>
      <c r="B78" s="1">
        <v>4.0000000000000002E-4</v>
      </c>
      <c r="C78" s="1">
        <v>0</v>
      </c>
      <c r="D78" s="1">
        <v>0</v>
      </c>
      <c r="E78" s="1">
        <v>5.1200000000000002E-2</v>
      </c>
      <c r="F78" s="1">
        <v>5.5300000000000002E-2</v>
      </c>
      <c r="G78" s="1">
        <v>0.127</v>
      </c>
      <c r="H78" s="1">
        <v>5.67E-2</v>
      </c>
      <c r="I78" s="1">
        <v>1.4E-2</v>
      </c>
      <c r="J78" s="1">
        <v>5.3099999999999996E-3</v>
      </c>
      <c r="K78" s="1">
        <v>0.44500000000000001</v>
      </c>
      <c r="L78" s="1">
        <v>2.2799999999999999E-3</v>
      </c>
      <c r="M78" s="1">
        <v>0.24299999999999999</v>
      </c>
    </row>
    <row r="79" spans="1:13" x14ac:dyDescent="0.2">
      <c r="A79" t="s">
        <v>702</v>
      </c>
      <c r="B79" s="1">
        <v>3.8400000000000001E-4</v>
      </c>
      <c r="C79" s="1">
        <v>0</v>
      </c>
      <c r="D79" s="1">
        <v>0</v>
      </c>
      <c r="E79" s="1">
        <v>4.4200000000000003E-2</v>
      </c>
      <c r="F79" s="1">
        <v>8.4400000000000003E-2</v>
      </c>
      <c r="G79" s="1">
        <v>8.6699999999999999E-2</v>
      </c>
      <c r="H79" s="1">
        <v>4.07E-2</v>
      </c>
      <c r="I79" s="1">
        <v>0</v>
      </c>
      <c r="J79" s="1">
        <v>1.5100000000000001E-2</v>
      </c>
      <c r="K79" s="1">
        <v>0.38400000000000001</v>
      </c>
      <c r="L79" s="1">
        <v>1.42E-3</v>
      </c>
      <c r="M79" s="1">
        <v>0.34300000000000003</v>
      </c>
    </row>
    <row r="80" spans="1:13" x14ac:dyDescent="0.2">
      <c r="A80" t="s">
        <v>703</v>
      </c>
      <c r="B80" s="1">
        <v>2.12E-4</v>
      </c>
      <c r="C80" s="1">
        <v>0</v>
      </c>
      <c r="D80" s="1">
        <v>0</v>
      </c>
      <c r="E80" s="1">
        <v>6.5100000000000005E-2</v>
      </c>
      <c r="F80" s="1">
        <v>5.5800000000000002E-2</v>
      </c>
      <c r="G80" s="1">
        <v>6.7100000000000007E-2</v>
      </c>
      <c r="H80" s="1">
        <v>4.1799999999999997E-2</v>
      </c>
      <c r="I80" s="1">
        <v>7.6099999999999996E-3</v>
      </c>
      <c r="J80" s="1">
        <v>6.0099999999999997E-3</v>
      </c>
      <c r="K80" s="1">
        <v>0.216</v>
      </c>
      <c r="L80" s="1">
        <v>0</v>
      </c>
      <c r="M80" s="1">
        <v>0.54100000000000004</v>
      </c>
    </row>
    <row r="81" spans="1:13" x14ac:dyDescent="0.2">
      <c r="A81" t="s">
        <v>704</v>
      </c>
      <c r="B81" s="1">
        <v>5.6300000000000002E-4</v>
      </c>
      <c r="C81" s="1">
        <v>0</v>
      </c>
      <c r="D81" s="1">
        <v>0</v>
      </c>
      <c r="E81" s="1">
        <v>4.0899999999999999E-2</v>
      </c>
      <c r="F81" s="1">
        <v>8.2799999999999999E-2</v>
      </c>
      <c r="G81" s="1">
        <v>0.13700000000000001</v>
      </c>
      <c r="H81" s="1">
        <v>6.6199999999999995E-2</v>
      </c>
      <c r="I81" s="1">
        <v>1.29E-2</v>
      </c>
      <c r="J81" s="1">
        <v>9.0399999999999994E-3</v>
      </c>
      <c r="K81" s="1">
        <v>0.48399999999999999</v>
      </c>
      <c r="L81" s="1">
        <v>5.5500000000000002E-3</v>
      </c>
      <c r="M81" s="1">
        <v>0.161</v>
      </c>
    </row>
    <row r="82" spans="1:13" x14ac:dyDescent="0.2">
      <c r="A82" t="s">
        <v>705</v>
      </c>
      <c r="B82" s="1">
        <v>1.6100000000000001E-4</v>
      </c>
      <c r="C82" s="1">
        <v>0</v>
      </c>
      <c r="D82" s="1">
        <v>0</v>
      </c>
      <c r="E82" s="1">
        <v>4.8099999999999997E-2</v>
      </c>
      <c r="F82" s="1">
        <v>9.5799999999999996E-2</v>
      </c>
      <c r="G82" s="1">
        <v>9.0300000000000005E-2</v>
      </c>
      <c r="H82" s="1">
        <v>6.8199999999999997E-2</v>
      </c>
      <c r="I82" s="1">
        <v>8.4100000000000008E-3</v>
      </c>
      <c r="J82" s="1">
        <v>5.6600000000000001E-3</v>
      </c>
      <c r="K82" s="1">
        <v>0.40600000000000003</v>
      </c>
      <c r="L82" s="1">
        <v>0</v>
      </c>
      <c r="M82" s="1">
        <v>0.27700000000000002</v>
      </c>
    </row>
    <row r="83" spans="1:13" x14ac:dyDescent="0.2">
      <c r="A83" t="s">
        <v>706</v>
      </c>
      <c r="B83" s="1">
        <v>0</v>
      </c>
      <c r="C83" s="1">
        <v>0</v>
      </c>
      <c r="D83" s="1">
        <v>0</v>
      </c>
      <c r="E83" s="1">
        <v>3.7100000000000001E-2</v>
      </c>
      <c r="F83" s="1">
        <v>7.2300000000000003E-2</v>
      </c>
      <c r="G83" s="1">
        <v>9.2600000000000002E-2</v>
      </c>
      <c r="H83" s="1">
        <v>3.8199999999999998E-2</v>
      </c>
      <c r="I83" s="1">
        <v>1.43E-2</v>
      </c>
      <c r="J83" s="1">
        <v>8.8199999999999997E-3</v>
      </c>
      <c r="K83" s="1">
        <v>0.39100000000000001</v>
      </c>
      <c r="L83" s="1">
        <v>7.9100000000000004E-3</v>
      </c>
      <c r="M83" s="1">
        <v>0.33800000000000002</v>
      </c>
    </row>
    <row r="84" spans="1:13" x14ac:dyDescent="0.2">
      <c r="A84" t="s">
        <v>707</v>
      </c>
      <c r="B84" s="1">
        <v>0</v>
      </c>
      <c r="C84" s="1">
        <v>0</v>
      </c>
      <c r="D84" s="1">
        <v>0</v>
      </c>
      <c r="E84" s="1">
        <v>5.6000000000000001E-2</v>
      </c>
      <c r="F84" s="1">
        <v>4.0099999999999997E-2</v>
      </c>
      <c r="G84" s="1">
        <v>9.06E-2</v>
      </c>
      <c r="H84" s="1">
        <v>4.1700000000000001E-2</v>
      </c>
      <c r="I84" s="1">
        <v>1.21E-2</v>
      </c>
      <c r="J84" s="1">
        <v>6.3800000000000003E-3</v>
      </c>
      <c r="K84" s="1">
        <v>0.40200000000000002</v>
      </c>
      <c r="L84" s="1">
        <v>2.3800000000000002E-3</v>
      </c>
      <c r="M84" s="1">
        <v>0.34899999999999998</v>
      </c>
    </row>
    <row r="85" spans="1:13" x14ac:dyDescent="0.2">
      <c r="A85" t="s">
        <v>708</v>
      </c>
      <c r="B85" s="1">
        <v>0</v>
      </c>
      <c r="C85" s="1">
        <v>0</v>
      </c>
      <c r="D85" s="1">
        <v>0</v>
      </c>
      <c r="E85" s="1">
        <v>5.6599999999999998E-2</v>
      </c>
      <c r="F85" s="1">
        <v>0.15</v>
      </c>
      <c r="G85" s="1">
        <v>0.14399999999999999</v>
      </c>
      <c r="H85" s="1">
        <v>4.41E-2</v>
      </c>
      <c r="I85" s="1">
        <v>1.7000000000000001E-2</v>
      </c>
      <c r="J85" s="1">
        <v>5.3899999999999998E-4</v>
      </c>
      <c r="K85" s="1">
        <v>0.52700000000000002</v>
      </c>
      <c r="L85" s="1">
        <v>0</v>
      </c>
      <c r="M85" s="1">
        <v>6.0299999999999999E-2</v>
      </c>
    </row>
    <row r="86" spans="1:13" x14ac:dyDescent="0.2">
      <c r="A86" t="s">
        <v>709</v>
      </c>
      <c r="B86" s="1">
        <v>0</v>
      </c>
      <c r="C86" s="1">
        <v>0</v>
      </c>
      <c r="D86" s="1">
        <v>0</v>
      </c>
      <c r="E86" s="1">
        <v>8.8800000000000004E-2</v>
      </c>
      <c r="F86" s="1">
        <v>0.13400000000000001</v>
      </c>
      <c r="G86" s="1">
        <v>0.159</v>
      </c>
      <c r="H86" s="1">
        <v>8.8300000000000003E-2</v>
      </c>
      <c r="I86" s="1">
        <v>2.3199999999999998E-2</v>
      </c>
      <c r="J86" s="1">
        <v>9.5600000000000008E-3</v>
      </c>
      <c r="K86" s="1">
        <v>0</v>
      </c>
      <c r="L86" s="1">
        <v>1.8799999999999999E-3</v>
      </c>
      <c r="M86" s="1">
        <v>0.495</v>
      </c>
    </row>
    <row r="87" spans="1:13" x14ac:dyDescent="0.2">
      <c r="A87" t="s">
        <v>710</v>
      </c>
      <c r="B87" s="1">
        <v>2.2000000000000001E-3</v>
      </c>
      <c r="C87" s="1">
        <v>0</v>
      </c>
      <c r="D87" s="1">
        <v>0</v>
      </c>
      <c r="E87" s="1">
        <v>0.128</v>
      </c>
      <c r="F87" s="1">
        <v>6.5500000000000003E-2</v>
      </c>
      <c r="G87" s="1">
        <v>0.109</v>
      </c>
      <c r="H87" s="1">
        <v>8.7900000000000006E-2</v>
      </c>
      <c r="I87" s="1">
        <v>1.52E-2</v>
      </c>
      <c r="J87" s="1">
        <v>3.8600000000000001E-3</v>
      </c>
      <c r="K87" s="1">
        <v>0</v>
      </c>
      <c r="L87" s="1">
        <v>0</v>
      </c>
      <c r="M87" s="1">
        <v>0.58899999999999997</v>
      </c>
    </row>
    <row r="88" spans="1:13" x14ac:dyDescent="0.2">
      <c r="A88" t="s">
        <v>711</v>
      </c>
      <c r="B88" s="1">
        <v>7.9000000000000001E-4</v>
      </c>
      <c r="C88" s="1">
        <v>0</v>
      </c>
      <c r="D88" s="1">
        <v>0</v>
      </c>
      <c r="E88" s="1">
        <v>0.221</v>
      </c>
      <c r="F88" s="1">
        <v>0.14099999999999999</v>
      </c>
      <c r="G88" s="1">
        <v>0.182</v>
      </c>
      <c r="H88" s="1">
        <v>0.249</v>
      </c>
      <c r="I88" s="1">
        <v>2.47E-2</v>
      </c>
      <c r="J88" s="1">
        <v>1.09E-3</v>
      </c>
      <c r="K88" s="1">
        <v>0</v>
      </c>
      <c r="L88" s="1">
        <v>0</v>
      </c>
      <c r="M88" s="1">
        <v>0.18</v>
      </c>
    </row>
    <row r="89" spans="1:13" x14ac:dyDescent="0.2">
      <c r="A89" t="s">
        <v>712</v>
      </c>
      <c r="B89" s="1">
        <v>7.0799999999999997E-4</v>
      </c>
      <c r="C89" s="1">
        <v>0</v>
      </c>
      <c r="D89" s="1">
        <v>0</v>
      </c>
      <c r="E89" s="1">
        <v>0.22</v>
      </c>
      <c r="F89" s="1">
        <v>0.13400000000000001</v>
      </c>
      <c r="G89" s="1">
        <v>0.29699999999999999</v>
      </c>
      <c r="H89" s="1">
        <v>0.13100000000000001</v>
      </c>
      <c r="I89" s="1">
        <v>2.53E-2</v>
      </c>
      <c r="J89" s="1">
        <v>8.2899999999999998E-4</v>
      </c>
      <c r="K89" s="1">
        <v>0</v>
      </c>
      <c r="L89" s="1">
        <v>0</v>
      </c>
      <c r="M89" s="1">
        <v>0.191</v>
      </c>
    </row>
    <row r="90" spans="1:13" x14ac:dyDescent="0.2">
      <c r="A90" t="s">
        <v>713</v>
      </c>
      <c r="B90" s="1">
        <v>5.2599999999999999E-4</v>
      </c>
      <c r="C90" s="1">
        <v>0</v>
      </c>
      <c r="D90" s="1">
        <v>0</v>
      </c>
      <c r="E90" s="1">
        <v>0.23100000000000001</v>
      </c>
      <c r="F90" s="1">
        <v>0.114</v>
      </c>
      <c r="G90" s="1">
        <v>0.26600000000000001</v>
      </c>
      <c r="H90" s="1">
        <v>0.184</v>
      </c>
      <c r="I90" s="1">
        <v>2.98E-2</v>
      </c>
      <c r="J90" s="1">
        <v>7.1299999999999998E-4</v>
      </c>
      <c r="K90" s="1">
        <v>0</v>
      </c>
      <c r="L90" s="1">
        <v>0</v>
      </c>
      <c r="M90" s="1">
        <v>0.17499999999999999</v>
      </c>
    </row>
    <row r="91" spans="1:13" x14ac:dyDescent="0.2">
      <c r="A91" t="s">
        <v>714</v>
      </c>
      <c r="B91" s="1">
        <v>1.2700000000000001E-3</v>
      </c>
      <c r="C91" s="1">
        <v>8.7600000000000004E-4</v>
      </c>
      <c r="D91" s="1">
        <v>0</v>
      </c>
      <c r="E91" s="1">
        <v>4.58E-2</v>
      </c>
      <c r="F91" s="1">
        <v>9.9699999999999998E-5</v>
      </c>
      <c r="G91" s="1">
        <v>0.189</v>
      </c>
      <c r="H91" s="1">
        <v>0.17</v>
      </c>
      <c r="I91" s="1">
        <v>1.9400000000000001E-2</v>
      </c>
      <c r="J91" s="1">
        <v>0</v>
      </c>
      <c r="K91" s="1">
        <v>0.56799999999999995</v>
      </c>
      <c r="L91" s="1">
        <v>5.6800000000000002E-3</v>
      </c>
      <c r="M91" s="1">
        <v>0</v>
      </c>
    </row>
    <row r="92" spans="1:13" x14ac:dyDescent="0.2">
      <c r="A92" t="s">
        <v>715</v>
      </c>
      <c r="B92" s="1">
        <v>9.6100000000000005E-4</v>
      </c>
      <c r="C92" s="1">
        <v>0</v>
      </c>
      <c r="D92" s="1">
        <v>0</v>
      </c>
      <c r="E92" s="1">
        <v>5.6399999999999999E-2</v>
      </c>
      <c r="F92" s="1">
        <v>0</v>
      </c>
      <c r="G92" s="1">
        <v>0.183</v>
      </c>
      <c r="H92" s="1">
        <v>6.1499999999999999E-2</v>
      </c>
      <c r="I92" s="1">
        <v>2.2499999999999999E-2</v>
      </c>
      <c r="J92" s="1">
        <v>0</v>
      </c>
      <c r="K92" s="1">
        <v>0.67600000000000005</v>
      </c>
      <c r="L92" s="1">
        <v>0</v>
      </c>
      <c r="M92" s="1">
        <v>0</v>
      </c>
    </row>
    <row r="93" spans="1:13" x14ac:dyDescent="0.2">
      <c r="A93" t="s">
        <v>716</v>
      </c>
      <c r="B93" s="1">
        <v>8.4500000000000005E-4</v>
      </c>
      <c r="C93" s="1">
        <v>0</v>
      </c>
      <c r="D93" s="1">
        <v>0</v>
      </c>
      <c r="E93" s="1">
        <v>7.0999999999999994E-2</v>
      </c>
      <c r="F93" s="1">
        <v>0</v>
      </c>
      <c r="G93" s="1">
        <v>0.17399999999999999</v>
      </c>
      <c r="H93" s="1">
        <v>8.8999999999999996E-2</v>
      </c>
      <c r="I93" s="1">
        <v>1.78E-2</v>
      </c>
      <c r="J93" s="1">
        <v>5.4799999999999997E-5</v>
      </c>
      <c r="K93" s="1">
        <v>0.625</v>
      </c>
      <c r="L93" s="1">
        <v>2.23E-2</v>
      </c>
      <c r="M93" s="1">
        <v>0</v>
      </c>
    </row>
    <row r="94" spans="1:13" x14ac:dyDescent="0.2">
      <c r="A94" t="s">
        <v>717</v>
      </c>
      <c r="B94" s="1">
        <v>2.9500000000000001E-4</v>
      </c>
      <c r="C94" s="1">
        <v>0</v>
      </c>
      <c r="D94" s="1">
        <v>0</v>
      </c>
      <c r="E94" s="1">
        <v>3.8399999999999997E-2</v>
      </c>
      <c r="F94" s="1">
        <v>0</v>
      </c>
      <c r="G94" s="1">
        <v>0.16800000000000001</v>
      </c>
      <c r="H94" s="1">
        <v>3.2099999999999997E-2</v>
      </c>
      <c r="I94" s="1">
        <v>2.2599999999999999E-2</v>
      </c>
      <c r="J94" s="1">
        <v>3.01E-4</v>
      </c>
      <c r="K94" s="1">
        <v>0.73199999999999998</v>
      </c>
      <c r="L94" s="1">
        <v>5.64E-3</v>
      </c>
      <c r="M94" s="1">
        <v>0</v>
      </c>
    </row>
    <row r="95" spans="1:13" x14ac:dyDescent="0.2">
      <c r="A95" t="s">
        <v>718</v>
      </c>
      <c r="B95" s="1">
        <v>3.28E-4</v>
      </c>
      <c r="C95" s="1">
        <v>0</v>
      </c>
      <c r="D95" s="1">
        <v>0</v>
      </c>
      <c r="E95" s="1">
        <v>4.7699999999999999E-2</v>
      </c>
      <c r="F95" s="1">
        <v>0.104</v>
      </c>
      <c r="G95" s="1">
        <v>0.13700000000000001</v>
      </c>
      <c r="H95" s="1">
        <v>4.8899999999999999E-2</v>
      </c>
      <c r="I95" s="1">
        <v>9.8300000000000002E-3</v>
      </c>
      <c r="J95" s="1">
        <v>1.24E-2</v>
      </c>
      <c r="K95" s="1">
        <v>0.44</v>
      </c>
      <c r="L95" s="1">
        <v>0</v>
      </c>
      <c r="M95" s="1">
        <v>0.2</v>
      </c>
    </row>
    <row r="96" spans="1:13" x14ac:dyDescent="0.2">
      <c r="A96" t="s">
        <v>719</v>
      </c>
      <c r="B96" s="1">
        <v>4.5100000000000001E-4</v>
      </c>
      <c r="C96" s="1">
        <v>0</v>
      </c>
      <c r="D96" s="1">
        <v>0</v>
      </c>
      <c r="E96" s="1">
        <v>5.1400000000000001E-2</v>
      </c>
      <c r="F96" s="1">
        <v>5.7599999999999998E-2</v>
      </c>
      <c r="G96" s="1">
        <v>5.4399999999999997E-2</v>
      </c>
      <c r="H96" s="1">
        <v>7.9899999999999999E-2</v>
      </c>
      <c r="I96" s="1">
        <v>1.46E-2</v>
      </c>
      <c r="J96" s="1">
        <v>4.3899999999999998E-3</v>
      </c>
      <c r="K96" s="1">
        <v>0.51700000000000002</v>
      </c>
      <c r="L96" s="1">
        <v>9.0399999999999996E-4</v>
      </c>
      <c r="M96" s="1">
        <v>0.22</v>
      </c>
    </row>
    <row r="97" spans="1:13" x14ac:dyDescent="0.2">
      <c r="A97" t="s">
        <v>720</v>
      </c>
      <c r="B97" s="1">
        <v>1.5699999999999999E-4</v>
      </c>
      <c r="C97" s="1">
        <v>0</v>
      </c>
      <c r="D97" s="1">
        <v>0</v>
      </c>
      <c r="E97" s="1">
        <v>5.5599999999999997E-2</v>
      </c>
      <c r="F97" s="1">
        <v>9.7900000000000001E-2</v>
      </c>
      <c r="G97" s="1">
        <v>7.0999999999999994E-2</v>
      </c>
      <c r="H97" s="1">
        <v>6.1800000000000001E-2</v>
      </c>
      <c r="I97" s="1">
        <v>9.2700000000000005E-3</v>
      </c>
      <c r="J97" s="1">
        <v>9.2200000000000008E-3</v>
      </c>
      <c r="K97" s="1">
        <v>0.33700000000000002</v>
      </c>
      <c r="L97" s="1">
        <v>0</v>
      </c>
      <c r="M97" s="1">
        <v>0.35799999999999998</v>
      </c>
    </row>
    <row r="98" spans="1:13" x14ac:dyDescent="0.2">
      <c r="A98" t="s">
        <v>721</v>
      </c>
      <c r="B98" s="1">
        <v>4.7600000000000002E-4</v>
      </c>
      <c r="C98" s="1">
        <v>0</v>
      </c>
      <c r="D98" s="1">
        <v>0</v>
      </c>
      <c r="E98" s="1">
        <v>5.4300000000000001E-2</v>
      </c>
      <c r="F98" s="1">
        <v>7.0099999999999996E-2</v>
      </c>
      <c r="G98" s="1">
        <v>7.4399999999999994E-2</v>
      </c>
      <c r="H98" s="1">
        <v>9.0200000000000002E-2</v>
      </c>
      <c r="I98" s="1">
        <v>1.0999999999999999E-2</v>
      </c>
      <c r="J98" s="1">
        <v>7.4599999999999996E-3</v>
      </c>
      <c r="K98" s="1">
        <v>0.44500000000000001</v>
      </c>
      <c r="L98" s="1">
        <v>3.32E-3</v>
      </c>
      <c r="M98" s="1">
        <v>0.24299999999999999</v>
      </c>
    </row>
    <row r="99" spans="1:13" x14ac:dyDescent="0.2">
      <c r="A99" t="s">
        <v>722</v>
      </c>
      <c r="B99" s="1">
        <v>1.11E-4</v>
      </c>
      <c r="C99" s="1">
        <v>0</v>
      </c>
      <c r="D99" s="1">
        <v>0</v>
      </c>
      <c r="E99" s="1">
        <v>4.2900000000000001E-2</v>
      </c>
      <c r="F99" s="1">
        <v>7.5899999999999995E-2</v>
      </c>
      <c r="G99" s="1">
        <v>6.7599999999999993E-2</v>
      </c>
      <c r="H99" s="1">
        <v>5.0200000000000002E-2</v>
      </c>
      <c r="I99" s="1">
        <v>7.1799999999999998E-3</v>
      </c>
      <c r="J99" s="1">
        <v>6.6899999999999998E-3</v>
      </c>
      <c r="K99" s="1">
        <v>0.40699999999999997</v>
      </c>
      <c r="L99" s="1">
        <v>0</v>
      </c>
      <c r="M99" s="1">
        <v>0.34200000000000003</v>
      </c>
    </row>
    <row r="100" spans="1:13" x14ac:dyDescent="0.2">
      <c r="A100" t="s">
        <v>723</v>
      </c>
      <c r="B100" s="1">
        <v>0</v>
      </c>
      <c r="C100" s="1">
        <v>0</v>
      </c>
      <c r="D100" s="1">
        <v>0</v>
      </c>
      <c r="E100" s="1">
        <v>4.5999999999999999E-2</v>
      </c>
      <c r="F100" s="1">
        <v>8.6999999999999994E-2</v>
      </c>
      <c r="G100" s="1">
        <v>6.3500000000000001E-2</v>
      </c>
      <c r="H100" s="1">
        <v>3.6700000000000003E-2</v>
      </c>
      <c r="I100" s="1">
        <v>1.15E-2</v>
      </c>
      <c r="J100" s="1">
        <v>7.4900000000000001E-3</v>
      </c>
      <c r="K100" s="1">
        <v>0.42199999999999999</v>
      </c>
      <c r="L100" s="1">
        <v>2.7799999999999999E-3</v>
      </c>
      <c r="M100" s="1">
        <v>0.32300000000000001</v>
      </c>
    </row>
    <row r="101" spans="1:13" x14ac:dyDescent="0.2">
      <c r="A101" t="s">
        <v>724</v>
      </c>
      <c r="B101" s="1">
        <v>0</v>
      </c>
      <c r="C101" s="1">
        <v>3.2899999999999997E-4</v>
      </c>
      <c r="D101" s="1">
        <v>0</v>
      </c>
      <c r="E101" s="1">
        <v>4.1099999999999998E-2</v>
      </c>
      <c r="F101" s="1">
        <v>0.111</v>
      </c>
      <c r="G101" s="1">
        <v>9.4399999999999998E-2</v>
      </c>
      <c r="H101" s="1">
        <v>4.8000000000000001E-2</v>
      </c>
      <c r="I101" s="1">
        <v>1.06E-2</v>
      </c>
      <c r="J101" s="1">
        <v>1.7100000000000001E-2</v>
      </c>
      <c r="K101" s="1">
        <v>0.311</v>
      </c>
      <c r="L101" s="1">
        <v>1.09E-3</v>
      </c>
      <c r="M101" s="1">
        <v>0.36599999999999999</v>
      </c>
    </row>
    <row r="102" spans="1:13" x14ac:dyDescent="0.2">
      <c r="A102" t="s">
        <v>725</v>
      </c>
      <c r="B102" s="1">
        <v>0</v>
      </c>
      <c r="C102" s="1">
        <v>0</v>
      </c>
      <c r="D102" s="1">
        <v>0</v>
      </c>
      <c r="E102" s="1">
        <v>4.6100000000000002E-2</v>
      </c>
      <c r="F102" s="1">
        <v>3.3700000000000001E-2</v>
      </c>
      <c r="G102" s="1">
        <v>5.28E-2</v>
      </c>
      <c r="H102" s="1">
        <v>8.2199999999999995E-2</v>
      </c>
      <c r="I102" s="1">
        <v>1.8800000000000001E-2</v>
      </c>
      <c r="J102" s="1">
        <v>6.1000000000000004E-3</v>
      </c>
      <c r="K102" s="1">
        <v>0.371</v>
      </c>
      <c r="L102" s="1">
        <v>1.57E-3</v>
      </c>
      <c r="M102" s="1">
        <v>0.38800000000000001</v>
      </c>
    </row>
    <row r="103" spans="1:13" x14ac:dyDescent="0.2">
      <c r="A103" t="s">
        <v>726</v>
      </c>
      <c r="B103" s="1">
        <v>0</v>
      </c>
      <c r="C103" s="1">
        <v>0</v>
      </c>
      <c r="D103" s="1">
        <v>0</v>
      </c>
      <c r="E103" s="1">
        <v>3.7999999999999999E-2</v>
      </c>
      <c r="F103" s="1">
        <v>0.107</v>
      </c>
      <c r="G103" s="1">
        <v>4.2099999999999999E-2</v>
      </c>
      <c r="H103" s="1">
        <v>5.96E-2</v>
      </c>
      <c r="I103" s="1">
        <v>1.14E-2</v>
      </c>
      <c r="J103" s="1">
        <v>6.9300000000000004E-3</v>
      </c>
      <c r="K103" s="1">
        <v>0.40899999999999997</v>
      </c>
      <c r="L103" s="1">
        <v>3.3899999999999998E-3</v>
      </c>
      <c r="M103" s="1">
        <v>0.32300000000000001</v>
      </c>
    </row>
    <row r="104" spans="1:13" x14ac:dyDescent="0.2">
      <c r="A104" t="s">
        <v>727</v>
      </c>
      <c r="B104" s="1">
        <v>0</v>
      </c>
      <c r="C104" s="1">
        <v>2.1599999999999999E-4</v>
      </c>
      <c r="D104" s="1">
        <v>0</v>
      </c>
      <c r="E104" s="1">
        <v>5.21E-2</v>
      </c>
      <c r="F104" s="1">
        <v>8.5199999999999998E-2</v>
      </c>
      <c r="G104" s="1">
        <v>3.5299999999999998E-2</v>
      </c>
      <c r="H104" s="1">
        <v>5.0700000000000002E-2</v>
      </c>
      <c r="I104" s="1">
        <v>1.0999999999999999E-2</v>
      </c>
      <c r="J104" s="1">
        <v>6.5199999999999998E-3</v>
      </c>
      <c r="K104" s="1">
        <v>0.35599999999999998</v>
      </c>
      <c r="L104" s="1">
        <v>1.4300000000000001E-3</v>
      </c>
      <c r="M104" s="1">
        <v>0.40200000000000002</v>
      </c>
    </row>
    <row r="105" spans="1:13" x14ac:dyDescent="0.2">
      <c r="A105" t="s">
        <v>728</v>
      </c>
      <c r="B105" s="1">
        <v>9.1E-4</v>
      </c>
      <c r="C105" s="1">
        <v>3.01E-4</v>
      </c>
      <c r="D105" s="1">
        <v>0</v>
      </c>
      <c r="E105" s="1">
        <v>0.14000000000000001</v>
      </c>
      <c r="F105" s="1">
        <v>8.3299999999999999E-2</v>
      </c>
      <c r="G105" s="1">
        <v>0.26200000000000001</v>
      </c>
      <c r="H105" s="1">
        <v>6.9500000000000006E-2</v>
      </c>
      <c r="I105" s="1">
        <v>2.2800000000000001E-2</v>
      </c>
      <c r="J105" s="1">
        <v>6.3E-3</v>
      </c>
      <c r="K105" s="1">
        <v>0</v>
      </c>
      <c r="L105" s="1">
        <v>0</v>
      </c>
      <c r="M105" s="1">
        <v>0.41499999999999998</v>
      </c>
    </row>
    <row r="106" spans="1:13" x14ac:dyDescent="0.2">
      <c r="A106" t="s">
        <v>729</v>
      </c>
      <c r="B106" s="1">
        <v>1.6900000000000001E-3</v>
      </c>
      <c r="C106" s="1">
        <v>2.2100000000000001E-4</v>
      </c>
      <c r="D106" s="1">
        <v>0</v>
      </c>
      <c r="E106" s="1">
        <v>0.125</v>
      </c>
      <c r="F106" s="1">
        <v>5.6800000000000003E-2</v>
      </c>
      <c r="G106" s="1">
        <v>6.6000000000000003E-2</v>
      </c>
      <c r="H106" s="1">
        <v>9.2200000000000004E-2</v>
      </c>
      <c r="I106" s="1">
        <v>1.5699999999999999E-2</v>
      </c>
      <c r="J106" s="1">
        <v>3.6099999999999999E-3</v>
      </c>
      <c r="K106" s="1">
        <v>0</v>
      </c>
      <c r="L106" s="1">
        <v>0</v>
      </c>
      <c r="M106" s="1">
        <v>0.63900000000000001</v>
      </c>
    </row>
    <row r="107" spans="1:13" x14ac:dyDescent="0.2">
      <c r="A107" t="s">
        <v>730</v>
      </c>
      <c r="B107" s="1">
        <v>1.0399999999999999E-3</v>
      </c>
      <c r="C107" s="1">
        <v>4.2099999999999999E-4</v>
      </c>
      <c r="D107" s="1">
        <v>0</v>
      </c>
      <c r="E107" s="1">
        <v>0.155</v>
      </c>
      <c r="F107" s="1">
        <v>0.122</v>
      </c>
      <c r="G107" s="1">
        <v>0.14299999999999999</v>
      </c>
      <c r="H107" s="1">
        <v>9.8000000000000004E-2</v>
      </c>
      <c r="I107" s="1">
        <v>2.06E-2</v>
      </c>
      <c r="J107" s="1">
        <v>7.6600000000000001E-3</v>
      </c>
      <c r="K107" s="1">
        <v>0</v>
      </c>
      <c r="L107" s="1">
        <v>0</v>
      </c>
      <c r="M107" s="1">
        <v>0.45300000000000001</v>
      </c>
    </row>
    <row r="108" spans="1:13" x14ac:dyDescent="0.2">
      <c r="A108" t="s">
        <v>731</v>
      </c>
      <c r="B108" s="1">
        <v>1.06E-3</v>
      </c>
      <c r="C108" s="1">
        <v>4.4099999999999999E-4</v>
      </c>
      <c r="D108" s="1">
        <v>0</v>
      </c>
      <c r="E108" s="1">
        <v>0.11600000000000001</v>
      </c>
      <c r="F108" s="1">
        <v>6.6600000000000006E-2</v>
      </c>
      <c r="G108" s="1">
        <v>5.9900000000000002E-2</v>
      </c>
      <c r="H108" s="1">
        <v>7.4700000000000003E-2</v>
      </c>
      <c r="I108" s="1">
        <v>1.2800000000000001E-2</v>
      </c>
      <c r="J108" s="1">
        <v>6.2500000000000003E-3</v>
      </c>
      <c r="K108" s="1">
        <v>0</v>
      </c>
      <c r="L108" s="1">
        <v>0</v>
      </c>
      <c r="M108" s="1">
        <v>0.66200000000000003</v>
      </c>
    </row>
    <row r="109" spans="1:13" x14ac:dyDescent="0.2">
      <c r="A109" t="s">
        <v>732</v>
      </c>
      <c r="B109" s="1">
        <v>5.44E-4</v>
      </c>
      <c r="C109" s="1">
        <v>3.5500000000000001E-4</v>
      </c>
      <c r="D109" s="1">
        <v>0</v>
      </c>
      <c r="E109" s="1">
        <v>0.123</v>
      </c>
      <c r="F109" s="1">
        <v>7.1199999999999999E-2</v>
      </c>
      <c r="G109" s="1">
        <v>6.8400000000000002E-2</v>
      </c>
      <c r="H109" s="1">
        <v>8.1299999999999997E-2</v>
      </c>
      <c r="I109" s="1">
        <v>1.7399999999999999E-2</v>
      </c>
      <c r="J109" s="1">
        <v>6.5399999999999998E-3</v>
      </c>
      <c r="K109" s="1">
        <v>0</v>
      </c>
      <c r="L109" s="1">
        <v>0</v>
      </c>
      <c r="M109" s="1">
        <v>0.63100000000000001</v>
      </c>
    </row>
    <row r="110" spans="1:13" x14ac:dyDescent="0.2">
      <c r="A110" t="s">
        <v>733</v>
      </c>
      <c r="B110" s="1">
        <v>1.0499999999999999E-3</v>
      </c>
      <c r="C110" s="1">
        <v>0</v>
      </c>
      <c r="D110" s="1">
        <v>0</v>
      </c>
      <c r="E110" s="1">
        <v>5.0099999999999999E-2</v>
      </c>
      <c r="F110" s="1">
        <v>0</v>
      </c>
      <c r="G110" s="1">
        <v>0.26300000000000001</v>
      </c>
      <c r="H110" s="1">
        <v>6.8400000000000002E-2</v>
      </c>
      <c r="I110" s="1">
        <v>1.66E-2</v>
      </c>
      <c r="J110" s="1">
        <v>0</v>
      </c>
      <c r="K110" s="1">
        <v>0.56399999999999995</v>
      </c>
      <c r="L110" s="1">
        <v>3.6799999999999999E-2</v>
      </c>
      <c r="M110" s="1">
        <v>0</v>
      </c>
    </row>
    <row r="111" spans="1:13" x14ac:dyDescent="0.2">
      <c r="A111" t="s">
        <v>734</v>
      </c>
      <c r="B111" s="1">
        <v>1.09E-3</v>
      </c>
      <c r="C111" s="1">
        <v>0</v>
      </c>
      <c r="D111" s="1">
        <v>0</v>
      </c>
      <c r="E111" s="1">
        <v>4.4299999999999999E-2</v>
      </c>
      <c r="F111" s="1">
        <v>0</v>
      </c>
      <c r="G111" s="1">
        <v>0.20300000000000001</v>
      </c>
      <c r="H111" s="1">
        <v>5.0700000000000002E-2</v>
      </c>
      <c r="I111" s="1">
        <v>2.0799999999999999E-2</v>
      </c>
      <c r="J111" s="1">
        <v>6.8800000000000005E-5</v>
      </c>
      <c r="K111" s="1">
        <v>0.67900000000000005</v>
      </c>
      <c r="L111" s="1">
        <v>1.17E-3</v>
      </c>
      <c r="M111" s="1">
        <v>0</v>
      </c>
    </row>
    <row r="112" spans="1:13" x14ac:dyDescent="0.2">
      <c r="A112" t="s">
        <v>735</v>
      </c>
      <c r="B112" s="1">
        <v>8.8099999999999995E-4</v>
      </c>
      <c r="C112" s="1">
        <v>0</v>
      </c>
      <c r="D112" s="1">
        <v>0</v>
      </c>
      <c r="E112" s="1">
        <v>5.9700000000000003E-2</v>
      </c>
      <c r="F112" s="1">
        <v>0</v>
      </c>
      <c r="G112" s="1">
        <v>7.6799999999999993E-2</v>
      </c>
      <c r="H112" s="1">
        <v>6.6400000000000001E-2</v>
      </c>
      <c r="I112" s="1">
        <v>2.06E-2</v>
      </c>
      <c r="J112" s="1">
        <v>9.6600000000000003E-5</v>
      </c>
      <c r="K112" s="1">
        <v>0.72399999999999998</v>
      </c>
      <c r="L112" s="1">
        <v>5.1999999999999998E-2</v>
      </c>
      <c r="M112" s="1">
        <v>0</v>
      </c>
    </row>
    <row r="113" spans="1:13" x14ac:dyDescent="0.2">
      <c r="A113" t="s">
        <v>736</v>
      </c>
      <c r="B113" s="1">
        <v>4.9100000000000001E-4</v>
      </c>
      <c r="C113" s="1">
        <v>0</v>
      </c>
      <c r="D113" s="1">
        <v>0</v>
      </c>
      <c r="E113" s="1">
        <v>3.95E-2</v>
      </c>
      <c r="F113" s="1">
        <v>1.6699999999999999E-4</v>
      </c>
      <c r="G113" s="1">
        <v>0.114</v>
      </c>
      <c r="H113" s="1">
        <v>6.3899999999999998E-2</v>
      </c>
      <c r="I113" s="1">
        <v>1.7500000000000002E-2</v>
      </c>
      <c r="J113" s="1">
        <v>1.24E-3</v>
      </c>
      <c r="K113" s="1">
        <v>0.73899999999999999</v>
      </c>
      <c r="L113" s="1">
        <v>2.4400000000000002E-2</v>
      </c>
      <c r="M113" s="1">
        <v>0</v>
      </c>
    </row>
    <row r="114" spans="1:13" x14ac:dyDescent="0.2">
      <c r="A114" t="s">
        <v>737</v>
      </c>
      <c r="B114" s="1">
        <v>3.8899999999999998E-3</v>
      </c>
      <c r="C114" s="1">
        <v>0</v>
      </c>
      <c r="D114" s="1">
        <v>0</v>
      </c>
      <c r="E114" s="1">
        <v>1.39E-3</v>
      </c>
      <c r="F114" s="1">
        <v>7.4100000000000001E-4</v>
      </c>
      <c r="G114" s="1">
        <v>5.1500000000000001E-3</v>
      </c>
      <c r="H114" s="1">
        <v>5.0499999999999998E-3</v>
      </c>
      <c r="I114" s="1">
        <v>1.3600000000000001E-3</v>
      </c>
      <c r="J114" s="1">
        <v>1.3799999999999999E-3</v>
      </c>
      <c r="K114" s="1">
        <v>9.7599999999999996E-3</v>
      </c>
      <c r="L114" s="1">
        <v>0.94899999999999995</v>
      </c>
      <c r="M114" s="1">
        <v>2.18E-2</v>
      </c>
    </row>
    <row r="115" spans="1:13" x14ac:dyDescent="0.2">
      <c r="A115" t="s">
        <v>738</v>
      </c>
      <c r="B115" s="1">
        <v>9.0600000000000003E-3</v>
      </c>
      <c r="C115" s="1">
        <v>0</v>
      </c>
      <c r="D115" s="1">
        <v>0</v>
      </c>
      <c r="E115" s="1">
        <v>5.4100000000000003E-4</v>
      </c>
      <c r="F115" s="1">
        <v>2.1099999999999999E-3</v>
      </c>
      <c r="G115" s="1">
        <v>4.7400000000000003E-3</v>
      </c>
      <c r="H115" s="1">
        <v>2.2499999999999998E-3</v>
      </c>
      <c r="I115" s="1">
        <v>0</v>
      </c>
      <c r="J115" s="1">
        <v>2.2899999999999999E-3</v>
      </c>
      <c r="K115" s="1">
        <v>3.6900000000000001E-3</v>
      </c>
      <c r="L115" s="1">
        <v>0.96</v>
      </c>
      <c r="M115" s="1">
        <v>1.4999999999999999E-2</v>
      </c>
    </row>
    <row r="116" spans="1:13" x14ac:dyDescent="0.2">
      <c r="A116" t="s">
        <v>739</v>
      </c>
      <c r="B116" s="1">
        <v>3.32E-3</v>
      </c>
      <c r="C116" s="1">
        <v>0</v>
      </c>
      <c r="D116" s="1">
        <v>0</v>
      </c>
      <c r="E116" s="1">
        <v>1.95E-4</v>
      </c>
      <c r="F116" s="1">
        <v>0</v>
      </c>
      <c r="G116" s="1">
        <v>2.3900000000000002E-3</v>
      </c>
      <c r="H116" s="1">
        <v>4.8899999999999996E-4</v>
      </c>
      <c r="I116" s="1">
        <v>0</v>
      </c>
      <c r="J116" s="1">
        <v>7.67E-4</v>
      </c>
      <c r="K116" s="1">
        <v>9.6900000000000003E-4</v>
      </c>
      <c r="L116" s="1">
        <v>0.98199999999999998</v>
      </c>
      <c r="M116" s="1">
        <v>1.01E-2</v>
      </c>
    </row>
    <row r="117" spans="1:13" x14ac:dyDescent="0.2">
      <c r="A117" t="s">
        <v>740</v>
      </c>
      <c r="B117" s="1">
        <v>4.2100000000000002E-3</v>
      </c>
      <c r="C117" s="1">
        <v>0</v>
      </c>
      <c r="D117" s="1">
        <v>0</v>
      </c>
      <c r="E117" s="1">
        <v>1.4999999999999999E-2</v>
      </c>
      <c r="F117" s="1">
        <v>1.03E-2</v>
      </c>
      <c r="G117" s="1">
        <v>4.3200000000000002E-2</v>
      </c>
      <c r="H117" s="1">
        <v>1.77E-2</v>
      </c>
      <c r="I117" s="1">
        <v>2.0500000000000001E-2</v>
      </c>
      <c r="J117" s="1">
        <v>2.47E-2</v>
      </c>
      <c r="K117" s="1">
        <v>5.4899999999999997E-2</v>
      </c>
      <c r="L117" s="1">
        <v>0.57199999999999995</v>
      </c>
      <c r="M117" s="1">
        <v>0.23699999999999999</v>
      </c>
    </row>
    <row r="118" spans="1:13" x14ac:dyDescent="0.2">
      <c r="A118" t="s">
        <v>741</v>
      </c>
      <c r="B118" s="1">
        <v>5.7999999999999996E-3</v>
      </c>
      <c r="C118" s="1">
        <v>0</v>
      </c>
      <c r="D118" s="1">
        <v>0</v>
      </c>
      <c r="E118" s="1">
        <v>2.8299999999999999E-2</v>
      </c>
      <c r="F118" s="1">
        <v>4.3799999999999999E-2</v>
      </c>
      <c r="G118" s="1">
        <v>0.10299999999999999</v>
      </c>
      <c r="H118" s="1">
        <v>0.106</v>
      </c>
      <c r="I118" s="1">
        <v>3.15E-2</v>
      </c>
      <c r="J118" s="1">
        <v>2.81E-2</v>
      </c>
      <c r="K118" s="1">
        <v>0.22900000000000001</v>
      </c>
      <c r="L118" s="1">
        <v>0</v>
      </c>
      <c r="M118" s="1">
        <v>0.42399999999999999</v>
      </c>
    </row>
    <row r="119" spans="1:13" x14ac:dyDescent="0.2">
      <c r="A119" t="s">
        <v>742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4.44E-4</v>
      </c>
      <c r="H119" s="1">
        <v>0</v>
      </c>
      <c r="I119" s="1">
        <v>0</v>
      </c>
      <c r="J119" s="1">
        <v>0</v>
      </c>
      <c r="K119" s="1">
        <v>1.1E-4</v>
      </c>
      <c r="L119" s="1">
        <v>0.999</v>
      </c>
      <c r="M119" s="1">
        <v>5.0500000000000002E-4</v>
      </c>
    </row>
    <row r="120" spans="1:13" x14ac:dyDescent="0.2">
      <c r="A120" t="s">
        <v>743</v>
      </c>
      <c r="B120" s="1">
        <v>0</v>
      </c>
      <c r="C120" s="1">
        <v>0</v>
      </c>
      <c r="D120" s="1">
        <v>0</v>
      </c>
      <c r="E120" s="1">
        <v>4.9500000000000002E-2</v>
      </c>
      <c r="F120" s="1">
        <v>1.95E-2</v>
      </c>
      <c r="G120" s="1">
        <v>2.3900000000000001E-2</v>
      </c>
      <c r="H120" s="1">
        <v>5.9299999999999999E-2</v>
      </c>
      <c r="I120" s="1">
        <v>4.87E-2</v>
      </c>
      <c r="J120" s="1">
        <v>8.5500000000000007E-2</v>
      </c>
      <c r="K120" s="1">
        <v>0.45200000000000001</v>
      </c>
      <c r="L120" s="1">
        <v>1.5100000000000001E-2</v>
      </c>
      <c r="M120" s="1">
        <v>0.247</v>
      </c>
    </row>
    <row r="121" spans="1:13" x14ac:dyDescent="0.2">
      <c r="A121" t="s">
        <v>744</v>
      </c>
      <c r="B121" s="1">
        <v>0</v>
      </c>
      <c r="C121" s="1">
        <v>0</v>
      </c>
      <c r="D121" s="1">
        <v>0</v>
      </c>
      <c r="E121" s="1">
        <v>3.3500000000000002E-2</v>
      </c>
      <c r="F121" s="1">
        <v>1.9199999999999998E-2</v>
      </c>
      <c r="G121" s="1">
        <v>1.1299999999999999E-2</v>
      </c>
      <c r="H121" s="1">
        <v>0.128</v>
      </c>
      <c r="I121" s="1">
        <v>4.53E-2</v>
      </c>
      <c r="J121" s="1">
        <v>1.5900000000000001E-2</v>
      </c>
      <c r="K121" s="1">
        <v>8.0399999999999999E-2</v>
      </c>
      <c r="L121" s="1">
        <v>0.372</v>
      </c>
      <c r="M121" s="1">
        <v>0.29499999999999998</v>
      </c>
    </row>
    <row r="122" spans="1:13" x14ac:dyDescent="0.2">
      <c r="A122" t="s">
        <v>745</v>
      </c>
      <c r="B122" s="1">
        <v>0</v>
      </c>
      <c r="C122" s="1">
        <v>0</v>
      </c>
      <c r="D122" s="1">
        <v>0</v>
      </c>
      <c r="E122" s="1">
        <v>3.1799999999999998E-4</v>
      </c>
      <c r="F122" s="1">
        <v>0</v>
      </c>
      <c r="G122" s="1">
        <v>1.5299999999999999E-3</v>
      </c>
      <c r="H122" s="1">
        <v>9.01E-4</v>
      </c>
      <c r="I122" s="1">
        <v>0</v>
      </c>
      <c r="J122" s="1">
        <v>0</v>
      </c>
      <c r="K122" s="1">
        <v>2.7100000000000002E-3</v>
      </c>
      <c r="L122" s="1">
        <v>0.99199999999999999</v>
      </c>
      <c r="M122" s="1">
        <v>2.99E-3</v>
      </c>
    </row>
    <row r="123" spans="1:13" x14ac:dyDescent="0.2">
      <c r="A123" t="s">
        <v>746</v>
      </c>
      <c r="B123" s="1">
        <v>0</v>
      </c>
      <c r="C123" s="1">
        <v>0</v>
      </c>
      <c r="D123" s="1">
        <v>0</v>
      </c>
      <c r="E123" s="1">
        <v>1.0300000000000001E-3</v>
      </c>
      <c r="F123" s="1">
        <v>3.63E-3</v>
      </c>
      <c r="G123" s="1">
        <v>1.61E-2</v>
      </c>
      <c r="H123" s="1">
        <v>5.1000000000000004E-3</v>
      </c>
      <c r="I123" s="1">
        <v>0</v>
      </c>
      <c r="J123" s="1">
        <v>8.26E-3</v>
      </c>
      <c r="K123" s="1">
        <v>6.3299999999999997E-3</v>
      </c>
      <c r="L123" s="1">
        <v>0.89700000000000002</v>
      </c>
      <c r="M123" s="1">
        <v>6.2799999999999995E-2</v>
      </c>
    </row>
    <row r="124" spans="1:13" x14ac:dyDescent="0.2">
      <c r="A124" t="s">
        <v>747</v>
      </c>
      <c r="B124" s="1">
        <v>6.2799999999999995E-2</v>
      </c>
      <c r="C124" s="1">
        <v>0</v>
      </c>
      <c r="D124" s="1">
        <v>0</v>
      </c>
      <c r="E124" s="1">
        <v>2.69E-2</v>
      </c>
      <c r="F124" s="1">
        <v>2.9499999999999998E-2</v>
      </c>
      <c r="G124" s="1">
        <v>6.7299999999999999E-2</v>
      </c>
      <c r="H124" s="1">
        <v>0.16500000000000001</v>
      </c>
      <c r="I124" s="1">
        <v>0.13500000000000001</v>
      </c>
      <c r="J124" s="1">
        <v>5.2499999999999998E-2</v>
      </c>
      <c r="K124" s="1">
        <v>0</v>
      </c>
      <c r="L124" s="1">
        <v>0</v>
      </c>
      <c r="M124" s="1">
        <v>0.46100000000000002</v>
      </c>
    </row>
    <row r="125" spans="1:13" x14ac:dyDescent="0.2">
      <c r="A125" t="s">
        <v>748</v>
      </c>
      <c r="B125" s="1">
        <v>0.64300000000000002</v>
      </c>
      <c r="C125" s="1">
        <v>0</v>
      </c>
      <c r="D125" s="1">
        <v>0</v>
      </c>
      <c r="E125" s="1">
        <v>0</v>
      </c>
      <c r="F125" s="1">
        <v>2.3800000000000002E-3</v>
      </c>
      <c r="G125" s="1">
        <v>3.82E-3</v>
      </c>
      <c r="H125" s="1">
        <v>1.2999999999999999E-3</v>
      </c>
      <c r="I125" s="1">
        <v>0</v>
      </c>
      <c r="J125" s="1">
        <v>1.0200000000000001E-3</v>
      </c>
      <c r="K125" s="1">
        <v>0</v>
      </c>
      <c r="L125" s="1">
        <v>0.32300000000000001</v>
      </c>
      <c r="M125" s="1">
        <v>2.52E-2</v>
      </c>
    </row>
    <row r="126" spans="1:13" x14ac:dyDescent="0.2">
      <c r="A126" t="s">
        <v>749</v>
      </c>
      <c r="B126" s="1">
        <v>0.128</v>
      </c>
      <c r="C126" s="1">
        <v>0</v>
      </c>
      <c r="D126" s="1">
        <v>0</v>
      </c>
      <c r="E126" s="1">
        <v>5.7299999999999999E-3</v>
      </c>
      <c r="F126" s="1">
        <v>0</v>
      </c>
      <c r="G126" s="1">
        <v>4.1399999999999999E-2</v>
      </c>
      <c r="H126" s="1">
        <v>1.67E-2</v>
      </c>
      <c r="I126" s="1">
        <v>0</v>
      </c>
      <c r="J126" s="1">
        <v>3.4000000000000002E-2</v>
      </c>
      <c r="K126" s="1">
        <v>0</v>
      </c>
      <c r="L126" s="1">
        <v>0</v>
      </c>
      <c r="M126" s="1">
        <v>0.77400000000000002</v>
      </c>
    </row>
    <row r="127" spans="1:13" x14ac:dyDescent="0.2">
      <c r="A127" t="s">
        <v>750</v>
      </c>
      <c r="B127" s="1">
        <v>6.8599999999999998E-3</v>
      </c>
      <c r="C127" s="1">
        <v>2.33E-3</v>
      </c>
      <c r="D127" s="1">
        <v>0</v>
      </c>
      <c r="E127" s="1">
        <v>0.13900000000000001</v>
      </c>
      <c r="F127" s="1">
        <v>4.1300000000000003E-2</v>
      </c>
      <c r="G127" s="1">
        <v>2.3900000000000001E-2</v>
      </c>
      <c r="H127" s="1">
        <v>0.14599999999999999</v>
      </c>
      <c r="I127" s="1">
        <v>9.4600000000000004E-2</v>
      </c>
      <c r="J127" s="1">
        <v>4.9399999999999999E-2</v>
      </c>
      <c r="K127" s="1">
        <v>0</v>
      </c>
      <c r="L127" s="1">
        <v>0</v>
      </c>
      <c r="M127" s="1">
        <v>0.496</v>
      </c>
    </row>
    <row r="128" spans="1:13" x14ac:dyDescent="0.2">
      <c r="A128" t="s">
        <v>751</v>
      </c>
      <c r="B128" s="1">
        <v>4.3799999999999999E-2</v>
      </c>
      <c r="C128" s="1">
        <v>0</v>
      </c>
      <c r="D128" s="1">
        <v>0</v>
      </c>
      <c r="E128" s="1">
        <v>3.7699999999999997E-2</v>
      </c>
      <c r="F128" s="1">
        <v>1.5800000000000002E-2</v>
      </c>
      <c r="G128" s="1">
        <v>5.4199999999999998E-2</v>
      </c>
      <c r="H128" s="1">
        <v>5.9799999999999999E-2</v>
      </c>
      <c r="I128" s="1">
        <v>1.0699999999999999E-2</v>
      </c>
      <c r="J128" s="1">
        <v>3.8399999999999997E-2</v>
      </c>
      <c r="K128" s="1">
        <v>0</v>
      </c>
      <c r="L128" s="1">
        <v>0</v>
      </c>
      <c r="M128" s="1">
        <v>0.74</v>
      </c>
    </row>
    <row r="129" spans="1:13" x14ac:dyDescent="0.2">
      <c r="A129" t="s">
        <v>752</v>
      </c>
      <c r="B129" s="1">
        <v>2.3E-2</v>
      </c>
      <c r="C129" s="1">
        <v>0</v>
      </c>
      <c r="D129" s="1">
        <v>0</v>
      </c>
      <c r="E129" s="1">
        <v>2.33E-4</v>
      </c>
      <c r="F129" s="1">
        <v>0</v>
      </c>
      <c r="G129" s="1">
        <v>2.1700000000000001E-3</v>
      </c>
      <c r="H129" s="1">
        <v>3.4200000000000002E-4</v>
      </c>
      <c r="I129" s="1">
        <v>0</v>
      </c>
      <c r="J129" s="1">
        <v>0</v>
      </c>
      <c r="K129" s="1">
        <v>3.0000000000000001E-3</v>
      </c>
      <c r="L129" s="1">
        <v>0.97099999999999997</v>
      </c>
      <c r="M129" s="1">
        <v>0</v>
      </c>
    </row>
    <row r="130" spans="1:13" x14ac:dyDescent="0.2">
      <c r="A130" t="s">
        <v>753</v>
      </c>
      <c r="B130" s="1">
        <v>4.8000000000000001E-2</v>
      </c>
      <c r="C130" s="1">
        <v>0</v>
      </c>
      <c r="D130" s="1">
        <v>0</v>
      </c>
      <c r="E130" s="1">
        <v>0.113</v>
      </c>
      <c r="F130" s="1">
        <v>0</v>
      </c>
      <c r="G130" s="1">
        <v>9.6799999999999997E-2</v>
      </c>
      <c r="H130" s="1">
        <v>0.14699999999999999</v>
      </c>
      <c r="I130" s="1">
        <v>3.5200000000000002E-2</v>
      </c>
      <c r="J130" s="1">
        <v>0</v>
      </c>
      <c r="K130" s="1">
        <v>0.35</v>
      </c>
      <c r="L130" s="1">
        <v>0.21099999999999999</v>
      </c>
      <c r="M130" s="1">
        <v>0</v>
      </c>
    </row>
    <row r="131" spans="1:13" x14ac:dyDescent="0.2">
      <c r="A131" t="s">
        <v>754</v>
      </c>
      <c r="B131" s="1">
        <v>0</v>
      </c>
      <c r="C131" s="1">
        <v>0</v>
      </c>
      <c r="D131" s="1">
        <v>0</v>
      </c>
      <c r="E131" s="1">
        <v>1.3600000000000001E-3</v>
      </c>
      <c r="F131" s="1">
        <v>0</v>
      </c>
      <c r="G131" s="1">
        <v>3.5899999999999999E-3</v>
      </c>
      <c r="H131" s="1">
        <v>0</v>
      </c>
      <c r="I131" s="1">
        <v>0</v>
      </c>
      <c r="J131" s="1">
        <v>0</v>
      </c>
      <c r="K131" s="1">
        <v>3.5699999999999998E-3</v>
      </c>
      <c r="L131" s="1">
        <v>0.99099999999999999</v>
      </c>
      <c r="M131" s="1">
        <v>0</v>
      </c>
    </row>
    <row r="132" spans="1:13" x14ac:dyDescent="0.2">
      <c r="A132" t="s">
        <v>755</v>
      </c>
      <c r="B132" s="1">
        <v>1.15E-3</v>
      </c>
      <c r="C132" s="1">
        <v>0</v>
      </c>
      <c r="D132" s="1">
        <v>0</v>
      </c>
      <c r="E132" s="1">
        <v>8.9900000000000003E-5</v>
      </c>
      <c r="F132" s="1">
        <v>0</v>
      </c>
      <c r="G132" s="1">
        <v>1.15E-3</v>
      </c>
      <c r="H132" s="1">
        <v>2.2800000000000001E-4</v>
      </c>
      <c r="I132" s="1">
        <v>0</v>
      </c>
      <c r="J132" s="1">
        <v>0</v>
      </c>
      <c r="K132" s="1">
        <v>9.7099999999999997E-4</v>
      </c>
      <c r="L132" s="1">
        <v>0.996</v>
      </c>
      <c r="M132" s="1">
        <v>0</v>
      </c>
    </row>
    <row r="133" spans="1:13" x14ac:dyDescent="0.2">
      <c r="A133" t="s">
        <v>756</v>
      </c>
      <c r="B133" s="1">
        <v>2.5500000000000002E-3</v>
      </c>
      <c r="C133" s="1">
        <v>0</v>
      </c>
      <c r="D133" s="1">
        <v>0</v>
      </c>
      <c r="E133" s="1">
        <v>2.9199999999999999E-3</v>
      </c>
      <c r="F133" s="1">
        <v>1.8400000000000001E-3</v>
      </c>
      <c r="G133" s="1">
        <v>1.0999999999999999E-2</v>
      </c>
      <c r="H133" s="1">
        <v>9.1199999999999996E-3</v>
      </c>
      <c r="I133" s="1">
        <v>4.4999999999999997E-3</v>
      </c>
      <c r="J133" s="1">
        <v>1.9300000000000001E-3</v>
      </c>
      <c r="K133" s="1">
        <v>3.0499999999999999E-2</v>
      </c>
      <c r="L133" s="1">
        <v>0.9</v>
      </c>
      <c r="M133" s="1">
        <v>3.5200000000000002E-2</v>
      </c>
    </row>
    <row r="134" spans="1:13" x14ac:dyDescent="0.2">
      <c r="A134" t="s">
        <v>757</v>
      </c>
      <c r="B134" s="1">
        <v>0</v>
      </c>
      <c r="C134" s="1">
        <v>0</v>
      </c>
      <c r="D134" s="1">
        <v>0</v>
      </c>
      <c r="E134" s="1">
        <v>9.1900000000000003E-3</v>
      </c>
      <c r="F134" s="1">
        <v>5.2399999999999999E-3</v>
      </c>
      <c r="G134" s="1">
        <v>4.5400000000000003E-2</v>
      </c>
      <c r="H134" s="1">
        <v>2.5000000000000001E-2</v>
      </c>
      <c r="I134" s="1">
        <v>1.01E-2</v>
      </c>
      <c r="J134" s="1">
        <v>9.9299999999999996E-3</v>
      </c>
      <c r="K134" s="1">
        <v>3.5200000000000002E-2</v>
      </c>
      <c r="L134" s="1">
        <v>0.76900000000000002</v>
      </c>
      <c r="M134" s="1">
        <v>9.0700000000000003E-2</v>
      </c>
    </row>
    <row r="135" spans="1:13" x14ac:dyDescent="0.2">
      <c r="A135" t="s">
        <v>758</v>
      </c>
      <c r="B135" s="1">
        <v>0</v>
      </c>
      <c r="C135" s="1">
        <v>0</v>
      </c>
      <c r="D135" s="1">
        <v>0</v>
      </c>
      <c r="E135" s="1">
        <v>7.7700000000000002E-4</v>
      </c>
      <c r="F135" s="1">
        <v>0</v>
      </c>
      <c r="G135" s="1">
        <v>2.7799999999999999E-3</v>
      </c>
      <c r="H135" s="1">
        <v>1.65E-3</v>
      </c>
      <c r="I135" s="1">
        <v>0</v>
      </c>
      <c r="J135" s="1">
        <v>7.2199999999999999E-4</v>
      </c>
      <c r="K135" s="1">
        <v>2.0999999999999999E-3</v>
      </c>
      <c r="L135" s="1">
        <v>0.98499999999999999</v>
      </c>
      <c r="M135" s="1">
        <v>6.8999999999999999E-3</v>
      </c>
    </row>
    <row r="136" spans="1:13" x14ac:dyDescent="0.2">
      <c r="A136" t="s">
        <v>759</v>
      </c>
      <c r="B136" s="1">
        <v>0</v>
      </c>
      <c r="C136" s="1">
        <v>0</v>
      </c>
      <c r="D136" s="1">
        <v>0</v>
      </c>
      <c r="E136" s="1">
        <v>7.8799999999999995E-2</v>
      </c>
      <c r="F136" s="1">
        <v>3.7900000000000003E-2</v>
      </c>
      <c r="G136" s="1">
        <v>9.2700000000000005E-2</v>
      </c>
      <c r="H136" s="1">
        <v>0.123</v>
      </c>
      <c r="I136" s="1">
        <v>8.0799999999999997E-2</v>
      </c>
      <c r="J136" s="1">
        <v>8.8200000000000001E-2</v>
      </c>
      <c r="K136" s="1">
        <v>0.19900000000000001</v>
      </c>
      <c r="L136" s="1">
        <v>0.11</v>
      </c>
      <c r="M136" s="1">
        <v>0.191</v>
      </c>
    </row>
    <row r="137" spans="1:13" x14ac:dyDescent="0.2">
      <c r="A137" t="s">
        <v>760</v>
      </c>
      <c r="B137" s="1">
        <v>0</v>
      </c>
      <c r="C137" s="1">
        <v>0</v>
      </c>
      <c r="D137" s="1">
        <v>0</v>
      </c>
      <c r="E137" s="1">
        <v>0.10199999999999999</v>
      </c>
      <c r="F137" s="1">
        <v>0</v>
      </c>
      <c r="G137" s="1">
        <v>0.13</v>
      </c>
      <c r="H137" s="1">
        <v>0.105</v>
      </c>
      <c r="I137" s="1">
        <v>0.125</v>
      </c>
      <c r="J137" s="1">
        <v>3.0599999999999999E-2</v>
      </c>
      <c r="K137" s="1">
        <v>0.22500000000000001</v>
      </c>
      <c r="L137" s="1">
        <v>0</v>
      </c>
      <c r="M137" s="1">
        <v>0.28199999999999997</v>
      </c>
    </row>
    <row r="138" spans="1:13" x14ac:dyDescent="0.2">
      <c r="A138" t="s">
        <v>761</v>
      </c>
      <c r="B138" s="1">
        <v>0</v>
      </c>
      <c r="C138" s="1">
        <v>0</v>
      </c>
      <c r="D138" s="1">
        <v>0</v>
      </c>
      <c r="E138" s="1">
        <v>6.6400000000000001E-5</v>
      </c>
      <c r="F138" s="1">
        <v>6.4700000000000001E-4</v>
      </c>
      <c r="G138" s="1">
        <v>1.24E-3</v>
      </c>
      <c r="H138" s="1">
        <v>3.4400000000000001E-4</v>
      </c>
      <c r="I138" s="1">
        <v>0</v>
      </c>
      <c r="J138" s="1">
        <v>3.9800000000000002E-4</v>
      </c>
      <c r="K138" s="1">
        <v>4.9100000000000001E-4</v>
      </c>
      <c r="L138" s="1">
        <v>0.99299999999999999</v>
      </c>
      <c r="M138" s="1">
        <v>3.5500000000000002E-3</v>
      </c>
    </row>
    <row r="139" spans="1:13" x14ac:dyDescent="0.2">
      <c r="A139" t="s">
        <v>762</v>
      </c>
      <c r="B139" s="1">
        <v>0</v>
      </c>
      <c r="C139" s="1">
        <v>0</v>
      </c>
      <c r="D139" s="1">
        <v>0</v>
      </c>
      <c r="E139" s="1">
        <v>4.7399999999999998E-2</v>
      </c>
      <c r="F139" s="1">
        <v>1.6E-2</v>
      </c>
      <c r="G139" s="1">
        <v>8.7499999999999994E-2</v>
      </c>
      <c r="H139" s="1">
        <v>0.1</v>
      </c>
      <c r="I139" s="1">
        <v>8.2100000000000006E-2</v>
      </c>
      <c r="J139" s="1">
        <v>9.2499999999999999E-2</v>
      </c>
      <c r="K139" s="1">
        <v>0.13700000000000001</v>
      </c>
      <c r="L139" s="1">
        <v>0</v>
      </c>
      <c r="M139" s="1">
        <v>0.437</v>
      </c>
    </row>
    <row r="140" spans="1:13" x14ac:dyDescent="0.2">
      <c r="A140" t="s">
        <v>763</v>
      </c>
      <c r="B140" s="1">
        <v>0</v>
      </c>
      <c r="C140" s="1">
        <v>0</v>
      </c>
      <c r="D140" s="1">
        <v>0</v>
      </c>
      <c r="E140" s="1">
        <v>3.56E-2</v>
      </c>
      <c r="F140" s="1">
        <v>1.4200000000000001E-2</v>
      </c>
      <c r="G140" s="1">
        <v>0.02</v>
      </c>
      <c r="H140" s="1">
        <v>9.2999999999999999E-2</v>
      </c>
      <c r="I140" s="1">
        <v>6.4899999999999999E-2</v>
      </c>
      <c r="J140" s="1">
        <v>1.52E-2</v>
      </c>
      <c r="K140" s="1">
        <v>0.1</v>
      </c>
      <c r="L140" s="1">
        <v>0.53400000000000003</v>
      </c>
      <c r="M140" s="1">
        <v>0.122</v>
      </c>
    </row>
    <row r="141" spans="1:13" x14ac:dyDescent="0.2">
      <c r="A141" t="s">
        <v>764</v>
      </c>
      <c r="B141" s="1">
        <v>0</v>
      </c>
      <c r="C141" s="1">
        <v>0</v>
      </c>
      <c r="D141" s="1">
        <v>0</v>
      </c>
      <c r="E141" s="1">
        <v>2.9299999999999999E-3</v>
      </c>
      <c r="F141" s="1">
        <v>4.6100000000000004E-3</v>
      </c>
      <c r="G141" s="1">
        <v>1.4999999999999999E-2</v>
      </c>
      <c r="H141" s="1">
        <v>9.2399999999999999E-3</v>
      </c>
      <c r="I141" s="1">
        <v>2.8800000000000002E-3</v>
      </c>
      <c r="J141" s="1">
        <v>3.2000000000000002E-3</v>
      </c>
      <c r="K141" s="1">
        <v>2.3599999999999999E-2</v>
      </c>
      <c r="L141" s="1">
        <v>0.88300000000000001</v>
      </c>
      <c r="M141" s="1">
        <v>5.5800000000000002E-2</v>
      </c>
    </row>
    <row r="142" spans="1:13" x14ac:dyDescent="0.2">
      <c r="A142" t="s">
        <v>765</v>
      </c>
      <c r="B142" s="1">
        <v>0</v>
      </c>
      <c r="C142" s="1">
        <v>0</v>
      </c>
      <c r="D142" s="1">
        <v>0</v>
      </c>
      <c r="E142" s="1">
        <v>0.01</v>
      </c>
      <c r="F142" s="1">
        <v>0.104</v>
      </c>
      <c r="G142" s="1">
        <v>5.4399999999999997E-2</v>
      </c>
      <c r="H142" s="1">
        <v>1.3599999999999999E-2</v>
      </c>
      <c r="I142" s="1">
        <v>1.06E-2</v>
      </c>
      <c r="J142" s="1">
        <v>3.32E-2</v>
      </c>
      <c r="K142" s="1">
        <v>0.13</v>
      </c>
      <c r="L142" s="1">
        <v>0.44800000000000001</v>
      </c>
      <c r="M142" s="1">
        <v>0.19500000000000001</v>
      </c>
    </row>
    <row r="143" spans="1:13" x14ac:dyDescent="0.2">
      <c r="A143" t="s">
        <v>766</v>
      </c>
      <c r="B143" s="1">
        <v>7.8E-2</v>
      </c>
      <c r="C143" s="1">
        <v>0</v>
      </c>
      <c r="D143" s="1">
        <v>0</v>
      </c>
      <c r="E143" s="1">
        <v>4.7E-2</v>
      </c>
      <c r="F143" s="1">
        <v>2.6200000000000001E-2</v>
      </c>
      <c r="G143" s="1">
        <v>0.13500000000000001</v>
      </c>
      <c r="H143" s="1">
        <v>7.9200000000000007E-2</v>
      </c>
      <c r="I143" s="1">
        <v>0.17399999999999999</v>
      </c>
      <c r="J143" s="1">
        <v>2.87E-2</v>
      </c>
      <c r="K143" s="1">
        <v>0</v>
      </c>
      <c r="L143" s="1">
        <v>0</v>
      </c>
      <c r="M143" s="1">
        <v>0.43099999999999999</v>
      </c>
    </row>
    <row r="144" spans="1:13" x14ac:dyDescent="0.2">
      <c r="A144" t="s">
        <v>767</v>
      </c>
      <c r="B144" s="1">
        <v>0.108</v>
      </c>
      <c r="C144" s="1">
        <v>0</v>
      </c>
      <c r="D144" s="1">
        <v>0</v>
      </c>
      <c r="E144" s="1">
        <v>4.4299999999999999E-2</v>
      </c>
      <c r="F144" s="1">
        <v>6.7199999999999996E-2</v>
      </c>
      <c r="G144" s="1">
        <v>0.191</v>
      </c>
      <c r="H144" s="1">
        <v>0.11600000000000001</v>
      </c>
      <c r="I144" s="1">
        <v>0</v>
      </c>
      <c r="J144" s="1">
        <v>0</v>
      </c>
      <c r="K144" s="1">
        <v>0</v>
      </c>
      <c r="L144" s="1">
        <v>0</v>
      </c>
      <c r="M144" s="1">
        <v>0.47299999999999998</v>
      </c>
    </row>
    <row r="145" spans="1:13" x14ac:dyDescent="0.2">
      <c r="A145" t="s">
        <v>768</v>
      </c>
      <c r="B145" s="1">
        <v>0</v>
      </c>
      <c r="C145" s="1">
        <v>0</v>
      </c>
      <c r="D145" s="1">
        <v>0</v>
      </c>
      <c r="E145" s="1">
        <v>5.8299999999999998E-2</v>
      </c>
      <c r="F145" s="1">
        <v>2.86E-2</v>
      </c>
      <c r="G145" s="1">
        <v>9.35E-2</v>
      </c>
      <c r="H145" s="1">
        <v>0.14099999999999999</v>
      </c>
      <c r="I145" s="1">
        <v>0.216</v>
      </c>
      <c r="J145" s="1">
        <v>5.0700000000000002E-2</v>
      </c>
      <c r="K145" s="1">
        <v>0</v>
      </c>
      <c r="L145" s="1">
        <v>0</v>
      </c>
      <c r="M145" s="1">
        <v>0.41199999999999998</v>
      </c>
    </row>
    <row r="146" spans="1:13" x14ac:dyDescent="0.2">
      <c r="A146" t="s">
        <v>769</v>
      </c>
      <c r="B146" s="1">
        <v>4.8900000000000002E-3</v>
      </c>
      <c r="C146" s="1">
        <v>4.1399999999999996E-3</v>
      </c>
      <c r="D146" s="1">
        <v>0</v>
      </c>
      <c r="E146" s="1">
        <v>0.155</v>
      </c>
      <c r="F146" s="1">
        <v>1.8700000000000001E-2</v>
      </c>
      <c r="G146" s="1">
        <v>2.69E-2</v>
      </c>
      <c r="H146" s="1">
        <v>0.16900000000000001</v>
      </c>
      <c r="I146" s="1">
        <v>0.14499999999999999</v>
      </c>
      <c r="J146" s="1">
        <v>2.5100000000000001E-2</v>
      </c>
      <c r="K146" s="1">
        <v>0</v>
      </c>
      <c r="L146" s="1">
        <v>0</v>
      </c>
      <c r="M146" s="1">
        <v>0.45100000000000001</v>
      </c>
    </row>
    <row r="147" spans="1:13" x14ac:dyDescent="0.2">
      <c r="A147" t="s">
        <v>770</v>
      </c>
      <c r="B147" s="1">
        <v>2.5100000000000001E-2</v>
      </c>
      <c r="C147" s="1">
        <v>0</v>
      </c>
      <c r="D147" s="1">
        <v>0</v>
      </c>
      <c r="E147" s="1">
        <v>7.8E-2</v>
      </c>
      <c r="F147" s="1">
        <v>3.9800000000000002E-2</v>
      </c>
      <c r="G147" s="1">
        <v>8.5900000000000004E-2</v>
      </c>
      <c r="H147" s="1">
        <v>9.4100000000000003E-2</v>
      </c>
      <c r="I147" s="1">
        <v>2.52E-2</v>
      </c>
      <c r="J147" s="1">
        <v>2.98E-2</v>
      </c>
      <c r="K147" s="1">
        <v>0</v>
      </c>
      <c r="L147" s="1">
        <v>0</v>
      </c>
      <c r="M147" s="1">
        <v>0.622</v>
      </c>
    </row>
    <row r="148" spans="1:13" x14ac:dyDescent="0.2">
      <c r="A148" t="s">
        <v>771</v>
      </c>
      <c r="B148" s="1">
        <v>5.8500000000000002E-3</v>
      </c>
      <c r="C148" s="1">
        <v>0</v>
      </c>
      <c r="D148" s="1">
        <v>0</v>
      </c>
      <c r="E148" s="1">
        <v>4.0000000000000002E-4</v>
      </c>
      <c r="F148" s="1">
        <v>0</v>
      </c>
      <c r="G148" s="1">
        <v>1.48E-3</v>
      </c>
      <c r="H148" s="1">
        <v>0</v>
      </c>
      <c r="I148" s="1">
        <v>0</v>
      </c>
      <c r="J148" s="1">
        <v>0</v>
      </c>
      <c r="K148" s="1">
        <v>1.58E-3</v>
      </c>
      <c r="L148" s="1">
        <v>0.99099999999999999</v>
      </c>
      <c r="M148" s="1">
        <v>0</v>
      </c>
    </row>
    <row r="149" spans="1:13" x14ac:dyDescent="0.2">
      <c r="A149" t="s">
        <v>772</v>
      </c>
      <c r="B149" s="1">
        <v>8.5000000000000006E-3</v>
      </c>
      <c r="C149" s="1">
        <v>0</v>
      </c>
      <c r="D149" s="1">
        <v>0</v>
      </c>
      <c r="E149" s="1">
        <v>4.3299999999999998E-2</v>
      </c>
      <c r="F149" s="1">
        <v>0</v>
      </c>
      <c r="G149" s="1">
        <v>7.8300000000000002E-3</v>
      </c>
      <c r="H149" s="1">
        <v>2.4E-2</v>
      </c>
      <c r="I149" s="1">
        <v>1.38E-2</v>
      </c>
      <c r="J149" s="1">
        <v>0</v>
      </c>
      <c r="K149" s="1">
        <v>2.9000000000000001E-2</v>
      </c>
      <c r="L149" s="1">
        <v>0.874</v>
      </c>
      <c r="M149" s="1">
        <v>0</v>
      </c>
    </row>
    <row r="150" spans="1:13" x14ac:dyDescent="0.2">
      <c r="A150" t="s">
        <v>773</v>
      </c>
      <c r="B150" s="1">
        <v>8.6799999999999996E-4</v>
      </c>
      <c r="C150" s="1">
        <v>0</v>
      </c>
      <c r="D150" s="1">
        <v>0</v>
      </c>
      <c r="E150" s="1">
        <v>3.5899999999999999E-3</v>
      </c>
      <c r="F150" s="1">
        <v>0</v>
      </c>
      <c r="G150" s="1">
        <v>4.3799999999999999E-2</v>
      </c>
      <c r="H150" s="1">
        <v>6.2399999999999999E-3</v>
      </c>
      <c r="I150" s="1">
        <v>0</v>
      </c>
      <c r="J150" s="1">
        <v>0</v>
      </c>
      <c r="K150" s="1">
        <v>1.47E-2</v>
      </c>
      <c r="L150" s="1">
        <v>0.93100000000000005</v>
      </c>
      <c r="M150" s="1">
        <v>0</v>
      </c>
    </row>
    <row r="151" spans="1:13" x14ac:dyDescent="0.2">
      <c r="A151" t="s">
        <v>774</v>
      </c>
      <c r="B151" s="1">
        <v>2.3699999999999999E-2</v>
      </c>
      <c r="C151" s="1">
        <v>0</v>
      </c>
      <c r="D151" s="1">
        <v>0</v>
      </c>
      <c r="E151" s="1">
        <v>1.29E-2</v>
      </c>
      <c r="F151" s="1">
        <v>0</v>
      </c>
      <c r="G151" s="1">
        <v>8.43E-2</v>
      </c>
      <c r="H151" s="1">
        <v>1.9300000000000001E-2</v>
      </c>
      <c r="I151" s="1">
        <v>1.15E-2</v>
      </c>
      <c r="J151" s="1">
        <v>0</v>
      </c>
      <c r="K151" s="1">
        <v>0.13700000000000001</v>
      </c>
      <c r="L151" s="1">
        <v>0.71199999999999997</v>
      </c>
      <c r="M151" s="1">
        <v>0</v>
      </c>
    </row>
    <row r="152" spans="1:13" x14ac:dyDescent="0.2">
      <c r="A152" t="s">
        <v>775</v>
      </c>
      <c r="B152" s="1">
        <v>0</v>
      </c>
      <c r="C152" s="1">
        <v>2.0600000000000002E-3</v>
      </c>
      <c r="D152" s="1">
        <v>0</v>
      </c>
      <c r="E152" s="1">
        <v>4.9599999999999998E-2</v>
      </c>
      <c r="F152" s="1">
        <v>0</v>
      </c>
      <c r="G152" s="1">
        <v>9.3600000000000003E-2</v>
      </c>
      <c r="H152" s="1">
        <v>0.217</v>
      </c>
      <c r="I152" s="1">
        <v>5.45E-2</v>
      </c>
      <c r="J152" s="1">
        <v>0</v>
      </c>
      <c r="K152" s="1">
        <v>0.57699999999999996</v>
      </c>
      <c r="L152" s="1">
        <v>5.3699999999999998E-3</v>
      </c>
      <c r="M152" s="1">
        <v>0</v>
      </c>
    </row>
    <row r="153" spans="1:13" x14ac:dyDescent="0.2">
      <c r="A153" t="s">
        <v>776</v>
      </c>
      <c r="B153" s="1">
        <v>0</v>
      </c>
      <c r="C153" s="1">
        <v>1.06E-3</v>
      </c>
      <c r="D153" s="1">
        <v>0</v>
      </c>
      <c r="E153" s="1">
        <v>4.7800000000000002E-2</v>
      </c>
      <c r="F153" s="1">
        <v>0</v>
      </c>
      <c r="G153" s="1">
        <v>1.46E-2</v>
      </c>
      <c r="H153" s="1">
        <v>5.21E-2</v>
      </c>
      <c r="I153" s="1">
        <v>1.2999999999999999E-2</v>
      </c>
      <c r="J153" s="1">
        <v>5.64E-3</v>
      </c>
      <c r="K153" s="1">
        <v>0.85899999999999999</v>
      </c>
      <c r="L153" s="1">
        <v>7.1399999999999996E-3</v>
      </c>
      <c r="M153" s="1">
        <v>0</v>
      </c>
    </row>
    <row r="154" spans="1:13" x14ac:dyDescent="0.2">
      <c r="A154" t="s">
        <v>777</v>
      </c>
      <c r="B154" s="1">
        <v>0</v>
      </c>
      <c r="C154" s="1">
        <v>1.8600000000000001E-3</v>
      </c>
      <c r="D154" s="1">
        <v>0</v>
      </c>
      <c r="E154" s="1">
        <v>7.17E-2</v>
      </c>
      <c r="F154" s="1">
        <v>0</v>
      </c>
      <c r="G154" s="1">
        <v>4.1399999999999999E-2</v>
      </c>
      <c r="H154" s="1">
        <v>0.05</v>
      </c>
      <c r="I154" s="1">
        <v>1.2200000000000001E-2</v>
      </c>
      <c r="J154" s="1">
        <v>2.2599999999999999E-3</v>
      </c>
      <c r="K154" s="1">
        <v>0.81599999999999995</v>
      </c>
      <c r="L154" s="1">
        <v>4.8900000000000002E-3</v>
      </c>
      <c r="M154" s="1">
        <v>0</v>
      </c>
    </row>
    <row r="155" spans="1:13" x14ac:dyDescent="0.2">
      <c r="A155" t="s">
        <v>778</v>
      </c>
      <c r="B155" s="1">
        <v>7.6800000000000002E-4</v>
      </c>
      <c r="C155" s="1">
        <v>0</v>
      </c>
      <c r="D155" s="1">
        <v>0</v>
      </c>
      <c r="E155" s="1">
        <v>9.4200000000000006E-2</v>
      </c>
      <c r="F155" s="1">
        <v>0</v>
      </c>
      <c r="G155" s="1">
        <v>9.9400000000000002E-2</v>
      </c>
      <c r="H155" s="1">
        <v>0.113</v>
      </c>
      <c r="I155" s="1">
        <v>1.67E-2</v>
      </c>
      <c r="J155" s="1">
        <v>0</v>
      </c>
      <c r="K155" s="1">
        <v>0.67600000000000005</v>
      </c>
      <c r="L155" s="1">
        <v>0</v>
      </c>
      <c r="M155" s="1">
        <v>0</v>
      </c>
    </row>
    <row r="156" spans="1:13" x14ac:dyDescent="0.2">
      <c r="A156" t="s">
        <v>779</v>
      </c>
      <c r="B156" s="1">
        <v>6.87E-4</v>
      </c>
      <c r="C156" s="1">
        <v>0</v>
      </c>
      <c r="D156" s="1">
        <v>0</v>
      </c>
      <c r="E156" s="1">
        <v>0.111</v>
      </c>
      <c r="F156" s="1">
        <v>0</v>
      </c>
      <c r="G156" s="1">
        <v>6.8699999999999997E-2</v>
      </c>
      <c r="H156" s="1">
        <v>9.0300000000000005E-2</v>
      </c>
      <c r="I156" s="1">
        <v>2.6499999999999999E-2</v>
      </c>
      <c r="J156" s="1">
        <v>0</v>
      </c>
      <c r="K156" s="1">
        <v>0.64400000000000002</v>
      </c>
      <c r="L156" s="1">
        <v>5.8900000000000001E-2</v>
      </c>
      <c r="M156" s="1">
        <v>0</v>
      </c>
    </row>
    <row r="157" spans="1:13" x14ac:dyDescent="0.2">
      <c r="A157" t="s">
        <v>780</v>
      </c>
      <c r="B157" s="1">
        <v>9.8299999999999993E-4</v>
      </c>
      <c r="C157" s="1">
        <v>0</v>
      </c>
      <c r="D157" s="1">
        <v>0</v>
      </c>
      <c r="E157" s="1">
        <v>0.106</v>
      </c>
      <c r="F157" s="1">
        <v>0</v>
      </c>
      <c r="G157" s="1">
        <v>7.51E-2</v>
      </c>
      <c r="H157" s="1">
        <v>5.4399999999999997E-2</v>
      </c>
      <c r="I157" s="1">
        <v>1.5299999999999999E-2</v>
      </c>
      <c r="J157" s="1">
        <v>0</v>
      </c>
      <c r="K157" s="1">
        <v>0.748</v>
      </c>
      <c r="L157" s="1">
        <v>0</v>
      </c>
      <c r="M157" s="1">
        <v>0</v>
      </c>
    </row>
    <row r="158" spans="1:13" x14ac:dyDescent="0.2">
      <c r="A158" t="s">
        <v>781</v>
      </c>
      <c r="B158" s="1">
        <v>0</v>
      </c>
      <c r="C158" s="1">
        <v>1.3699999999999999E-3</v>
      </c>
      <c r="D158" s="1">
        <v>0</v>
      </c>
      <c r="E158" s="1">
        <v>8.2600000000000007E-2</v>
      </c>
      <c r="F158" s="1">
        <v>0</v>
      </c>
      <c r="G158" s="1">
        <v>0.17399999999999999</v>
      </c>
      <c r="H158" s="1">
        <v>7.3200000000000001E-2</v>
      </c>
      <c r="I158" s="1">
        <v>2.0799999999999999E-2</v>
      </c>
      <c r="J158" s="1">
        <v>4.37E-4</v>
      </c>
      <c r="K158" s="1">
        <v>0.64700000000000002</v>
      </c>
      <c r="L158" s="1">
        <v>0</v>
      </c>
      <c r="M158" s="1">
        <v>0</v>
      </c>
    </row>
    <row r="159" spans="1:13" x14ac:dyDescent="0.2">
      <c r="A159" t="s">
        <v>782</v>
      </c>
      <c r="B159" s="1">
        <v>0</v>
      </c>
      <c r="C159" s="1">
        <v>1.25E-3</v>
      </c>
      <c r="D159" s="1">
        <v>0</v>
      </c>
      <c r="E159" s="1">
        <v>5.1799999999999999E-2</v>
      </c>
      <c r="F159" s="1">
        <v>0</v>
      </c>
      <c r="G159" s="1">
        <v>1.89E-2</v>
      </c>
      <c r="H159" s="1">
        <v>4.7800000000000002E-2</v>
      </c>
      <c r="I159" s="1">
        <v>8.4600000000000005E-3</v>
      </c>
      <c r="J159" s="1">
        <v>0.01</v>
      </c>
      <c r="K159" s="1">
        <v>0.85499999999999998</v>
      </c>
      <c r="L159" s="1">
        <v>6.3299999999999997E-3</v>
      </c>
      <c r="M159" s="1">
        <v>0</v>
      </c>
    </row>
    <row r="160" spans="1:13" x14ac:dyDescent="0.2">
      <c r="A160" t="s">
        <v>783</v>
      </c>
      <c r="B160" s="1">
        <v>1.4599999999999999E-3</v>
      </c>
      <c r="C160" s="1">
        <v>0</v>
      </c>
      <c r="D160" s="1">
        <v>0</v>
      </c>
      <c r="E160" s="1">
        <v>0.13500000000000001</v>
      </c>
      <c r="F160" s="1">
        <v>0</v>
      </c>
      <c r="G160" s="1">
        <v>4.0899999999999999E-2</v>
      </c>
      <c r="H160" s="1">
        <v>5.11E-2</v>
      </c>
      <c r="I160" s="1">
        <v>2.1999999999999999E-2</v>
      </c>
      <c r="J160" s="1">
        <v>0</v>
      </c>
      <c r="K160" s="1">
        <v>0.747</v>
      </c>
      <c r="L160" s="1">
        <v>2.5999999999999999E-3</v>
      </c>
      <c r="M160" s="1">
        <v>0</v>
      </c>
    </row>
    <row r="161" spans="1:13" x14ac:dyDescent="0.2">
      <c r="A161" t="s">
        <v>784</v>
      </c>
      <c r="B161" s="1">
        <v>0</v>
      </c>
      <c r="C161" s="1">
        <v>4.1900000000000001E-3</v>
      </c>
      <c r="D161" s="1">
        <v>0</v>
      </c>
      <c r="E161" s="1">
        <v>8.9399999999999993E-2</v>
      </c>
      <c r="F161" s="1">
        <v>0</v>
      </c>
      <c r="G161" s="1">
        <v>6.1100000000000002E-2</v>
      </c>
      <c r="H161" s="1">
        <v>9.0399999999999994E-2</v>
      </c>
      <c r="I161" s="1">
        <v>2.1299999999999999E-2</v>
      </c>
      <c r="J161" s="1">
        <v>2.0799999999999998E-3</v>
      </c>
      <c r="K161" s="1">
        <v>0.72</v>
      </c>
      <c r="L161" s="1">
        <v>1.15E-2</v>
      </c>
      <c r="M161" s="1">
        <v>0</v>
      </c>
    </row>
    <row r="162" spans="1:13" x14ac:dyDescent="0.2">
      <c r="A162" t="s">
        <v>785</v>
      </c>
      <c r="B162" s="1">
        <v>8.9300000000000002E-4</v>
      </c>
      <c r="C162" s="1">
        <v>0</v>
      </c>
      <c r="D162" s="1">
        <v>0</v>
      </c>
      <c r="E162" s="1">
        <v>8.8300000000000003E-2</v>
      </c>
      <c r="F162" s="1">
        <v>0</v>
      </c>
      <c r="G162" s="1">
        <v>0.09</v>
      </c>
      <c r="H162" s="1">
        <v>8.6599999999999996E-2</v>
      </c>
      <c r="I162" s="1">
        <v>1.95E-2</v>
      </c>
      <c r="J162" s="1">
        <v>0</v>
      </c>
      <c r="K162" s="1">
        <v>0.58399999999999996</v>
      </c>
      <c r="L162" s="1">
        <v>0.13</v>
      </c>
      <c r="M162" s="1">
        <v>0</v>
      </c>
    </row>
    <row r="163" spans="1:13" x14ac:dyDescent="0.2">
      <c r="A163" t="s">
        <v>786</v>
      </c>
      <c r="B163" s="1">
        <v>5.3499999999999999E-4</v>
      </c>
      <c r="C163" s="1">
        <v>0</v>
      </c>
      <c r="D163" s="1">
        <v>0</v>
      </c>
      <c r="E163" s="1">
        <v>0.10100000000000001</v>
      </c>
      <c r="F163" s="1">
        <v>0</v>
      </c>
      <c r="G163" s="1">
        <v>2.58E-2</v>
      </c>
      <c r="H163" s="1">
        <v>5.7200000000000001E-2</v>
      </c>
      <c r="I163" s="1">
        <v>1.4500000000000001E-2</v>
      </c>
      <c r="J163" s="1">
        <v>0</v>
      </c>
      <c r="K163" s="1">
        <v>0.80100000000000005</v>
      </c>
      <c r="L163" s="1">
        <v>0</v>
      </c>
      <c r="M163" s="1">
        <v>0</v>
      </c>
    </row>
    <row r="164" spans="1:13" x14ac:dyDescent="0.2">
      <c r="A164" t="s">
        <v>787</v>
      </c>
      <c r="B164" s="1">
        <v>0</v>
      </c>
      <c r="C164" s="1">
        <v>4.4200000000000003E-3</v>
      </c>
      <c r="D164" s="1">
        <v>0</v>
      </c>
      <c r="E164" s="1">
        <v>7.3899999999999993E-2</v>
      </c>
      <c r="F164" s="1">
        <v>0</v>
      </c>
      <c r="G164" s="1">
        <v>0.13</v>
      </c>
      <c r="H164" s="1">
        <v>6.4500000000000002E-2</v>
      </c>
      <c r="I164" s="1">
        <v>2.53E-2</v>
      </c>
      <c r="J164" s="1">
        <v>4.7600000000000002E-4</v>
      </c>
      <c r="K164" s="1">
        <v>0.70099999999999996</v>
      </c>
      <c r="L164" s="1">
        <v>0</v>
      </c>
      <c r="M164" s="1">
        <v>0</v>
      </c>
    </row>
    <row r="165" spans="1:13" x14ac:dyDescent="0.2">
      <c r="A165" t="s">
        <v>788</v>
      </c>
      <c r="B165" s="1">
        <v>0</v>
      </c>
      <c r="C165" s="1">
        <v>1.3799999999999999E-3</v>
      </c>
      <c r="D165" s="1">
        <v>0</v>
      </c>
      <c r="E165" s="1">
        <v>4.6399999999999997E-2</v>
      </c>
      <c r="F165" s="1">
        <v>0</v>
      </c>
      <c r="G165" s="1">
        <v>1.23E-2</v>
      </c>
      <c r="H165" s="1">
        <v>4.1700000000000001E-2</v>
      </c>
      <c r="I165" s="1">
        <v>1.18E-2</v>
      </c>
      <c r="J165" s="1">
        <v>7.3800000000000003E-3</v>
      </c>
      <c r="K165" s="1">
        <v>0.86799999999999999</v>
      </c>
      <c r="L165" s="1">
        <v>1.04E-2</v>
      </c>
      <c r="M165" s="1">
        <v>0</v>
      </c>
    </row>
    <row r="166" spans="1:13" x14ac:dyDescent="0.2">
      <c r="A166" t="s">
        <v>789</v>
      </c>
      <c r="B166" s="1">
        <v>0</v>
      </c>
      <c r="C166" s="1">
        <v>0</v>
      </c>
      <c r="D166" s="1">
        <v>0</v>
      </c>
      <c r="E166" s="1">
        <v>9.5699999999999993E-2</v>
      </c>
      <c r="F166" s="1">
        <v>0</v>
      </c>
      <c r="G166" s="1">
        <v>3.9800000000000002E-2</v>
      </c>
      <c r="H166" s="1">
        <v>5.3699999999999998E-2</v>
      </c>
      <c r="I166" s="1">
        <v>1.38E-2</v>
      </c>
      <c r="J166" s="1">
        <v>1.34E-3</v>
      </c>
      <c r="K166" s="1">
        <v>0.78900000000000003</v>
      </c>
      <c r="L166" s="1">
        <v>6.43E-3</v>
      </c>
      <c r="M166" s="1">
        <v>0</v>
      </c>
    </row>
    <row r="167" spans="1:13" x14ac:dyDescent="0.2">
      <c r="A167" t="s">
        <v>790</v>
      </c>
      <c r="B167" s="1">
        <v>2.3800000000000002E-3</v>
      </c>
      <c r="C167" s="1">
        <v>0</v>
      </c>
      <c r="D167" s="1">
        <v>0</v>
      </c>
      <c r="E167" s="1">
        <v>7.0699999999999999E-2</v>
      </c>
      <c r="F167" s="1">
        <v>0</v>
      </c>
      <c r="G167" s="1">
        <v>0.13400000000000001</v>
      </c>
      <c r="H167" s="1">
        <v>2.6800000000000001E-2</v>
      </c>
      <c r="I167" s="1">
        <v>2.6700000000000002E-2</v>
      </c>
      <c r="J167" s="1">
        <v>0</v>
      </c>
      <c r="K167" s="1">
        <v>0.58899999999999997</v>
      </c>
      <c r="L167" s="1">
        <v>0.15</v>
      </c>
      <c r="M167" s="1">
        <v>0</v>
      </c>
    </row>
    <row r="168" spans="1:13" x14ac:dyDescent="0.2">
      <c r="A168" t="s">
        <v>791</v>
      </c>
      <c r="B168" s="1">
        <v>6.6500000000000001E-4</v>
      </c>
      <c r="C168" s="1">
        <v>0</v>
      </c>
      <c r="D168" s="1">
        <v>0</v>
      </c>
      <c r="E168" s="1">
        <v>9.6500000000000002E-2</v>
      </c>
      <c r="F168" s="1">
        <v>0</v>
      </c>
      <c r="G168" s="1">
        <v>7.17E-2</v>
      </c>
      <c r="H168" s="1">
        <v>7.0300000000000001E-2</v>
      </c>
      <c r="I168" s="1">
        <v>1.49E-2</v>
      </c>
      <c r="J168" s="1">
        <v>0</v>
      </c>
      <c r="K168" s="1">
        <v>0.74399999999999999</v>
      </c>
      <c r="L168" s="1">
        <v>2.2799999999999999E-3</v>
      </c>
      <c r="M168" s="1">
        <v>0</v>
      </c>
    </row>
    <row r="169" spans="1:13" x14ac:dyDescent="0.2">
      <c r="A169" t="s">
        <v>792</v>
      </c>
      <c r="B169" s="1">
        <v>0</v>
      </c>
      <c r="C169" s="1">
        <v>0.03</v>
      </c>
      <c r="D169" s="1">
        <v>0</v>
      </c>
      <c r="E169" s="1">
        <v>0.22</v>
      </c>
      <c r="F169" s="1">
        <v>0</v>
      </c>
      <c r="G169" s="1">
        <v>5.8500000000000002E-3</v>
      </c>
      <c r="H169" s="1">
        <v>7.9299999999999995E-2</v>
      </c>
      <c r="I169" s="1">
        <v>6.4000000000000001E-2</v>
      </c>
      <c r="J169" s="1">
        <v>9.3299999999999998E-3</v>
      </c>
      <c r="K169" s="1">
        <v>7.0499999999999993E-2</v>
      </c>
      <c r="L169" s="1">
        <v>0.52100000000000002</v>
      </c>
      <c r="M169" s="1">
        <v>0</v>
      </c>
    </row>
    <row r="170" spans="1:13" x14ac:dyDescent="0.2">
      <c r="A170" t="s">
        <v>793</v>
      </c>
      <c r="B170" s="1">
        <v>0</v>
      </c>
      <c r="C170" s="1">
        <v>0.14599999999999999</v>
      </c>
      <c r="D170" s="1">
        <v>0</v>
      </c>
      <c r="E170" s="1">
        <v>0.17100000000000001</v>
      </c>
      <c r="F170" s="1">
        <v>0</v>
      </c>
      <c r="G170" s="1">
        <v>7.1599999999999997E-3</v>
      </c>
      <c r="H170" s="1">
        <v>0.33800000000000002</v>
      </c>
      <c r="I170" s="1">
        <v>3.1099999999999999E-2</v>
      </c>
      <c r="J170" s="1">
        <v>4.4400000000000002E-2</v>
      </c>
      <c r="K170" s="1">
        <v>4.5499999999999999E-2</v>
      </c>
      <c r="L170" s="1">
        <v>0.216</v>
      </c>
      <c r="M170" s="1">
        <v>0</v>
      </c>
    </row>
    <row r="171" spans="1:13" x14ac:dyDescent="0.2">
      <c r="A171" t="s">
        <v>794</v>
      </c>
      <c r="B171" s="1">
        <v>0</v>
      </c>
      <c r="C171" s="1">
        <v>8.2600000000000007E-2</v>
      </c>
      <c r="D171" s="1">
        <v>0</v>
      </c>
      <c r="E171" s="1">
        <v>9.5000000000000001E-2</v>
      </c>
      <c r="F171" s="1">
        <v>0</v>
      </c>
      <c r="G171" s="1">
        <v>4.7800000000000004E-3</v>
      </c>
      <c r="H171" s="1">
        <v>5.67E-2</v>
      </c>
      <c r="I171" s="1">
        <v>2.9100000000000001E-2</v>
      </c>
      <c r="J171" s="1">
        <v>9.4699999999999993E-3</v>
      </c>
      <c r="K171" s="1">
        <v>0.10199999999999999</v>
      </c>
      <c r="L171" s="1">
        <v>0.621</v>
      </c>
      <c r="M171" s="1">
        <v>0</v>
      </c>
    </row>
    <row r="172" spans="1:13" x14ac:dyDescent="0.2">
      <c r="A172" t="s">
        <v>795</v>
      </c>
      <c r="B172" s="1">
        <v>1.5100000000000001E-3</v>
      </c>
      <c r="C172" s="1">
        <v>0</v>
      </c>
      <c r="D172" s="1">
        <v>0</v>
      </c>
      <c r="E172" s="1">
        <v>0.218</v>
      </c>
      <c r="F172" s="1">
        <v>0</v>
      </c>
      <c r="G172" s="1">
        <v>6.6100000000000004E-3</v>
      </c>
      <c r="H172" s="1">
        <v>0.105</v>
      </c>
      <c r="I172" s="1">
        <v>6.3E-2</v>
      </c>
      <c r="J172" s="1">
        <v>0</v>
      </c>
      <c r="K172" s="1">
        <v>4.07E-2</v>
      </c>
      <c r="L172" s="1">
        <v>0.56499999999999995</v>
      </c>
      <c r="M172" s="1">
        <v>0</v>
      </c>
    </row>
    <row r="173" spans="1:13" x14ac:dyDescent="0.2">
      <c r="A173" t="s">
        <v>796</v>
      </c>
      <c r="B173" s="1">
        <v>0</v>
      </c>
      <c r="C173" s="1">
        <v>0</v>
      </c>
      <c r="D173" s="1">
        <v>0</v>
      </c>
      <c r="E173" s="1">
        <v>8.2100000000000006E-2</v>
      </c>
      <c r="F173" s="1">
        <v>0</v>
      </c>
      <c r="G173" s="1">
        <v>1.0800000000000001E-2</v>
      </c>
      <c r="H173" s="1">
        <v>0</v>
      </c>
      <c r="I173" s="1">
        <v>1.3599999999999999E-2</v>
      </c>
      <c r="J173" s="1">
        <v>0</v>
      </c>
      <c r="K173" s="1">
        <v>6.1199999999999997E-2</v>
      </c>
      <c r="L173" s="1">
        <v>0.83199999999999996</v>
      </c>
      <c r="M173" s="1">
        <v>0</v>
      </c>
    </row>
    <row r="174" spans="1:13" x14ac:dyDescent="0.2">
      <c r="A174" t="s">
        <v>797</v>
      </c>
      <c r="B174" s="1">
        <v>2.1600000000000001E-2</v>
      </c>
      <c r="C174" s="1">
        <v>0</v>
      </c>
      <c r="D174" s="1">
        <v>0</v>
      </c>
      <c r="E174" s="1">
        <v>0.29299999999999998</v>
      </c>
      <c r="F174" s="1">
        <v>0</v>
      </c>
      <c r="G174" s="1">
        <v>1.17E-2</v>
      </c>
      <c r="H174" s="1">
        <v>0.32900000000000001</v>
      </c>
      <c r="I174" s="1">
        <v>6.0400000000000002E-2</v>
      </c>
      <c r="J174" s="1">
        <v>0</v>
      </c>
      <c r="K174" s="1">
        <v>0.27700000000000002</v>
      </c>
      <c r="L174" s="1">
        <v>7.62E-3</v>
      </c>
      <c r="M174" s="1">
        <v>0</v>
      </c>
    </row>
    <row r="175" spans="1:13" x14ac:dyDescent="0.2">
      <c r="A175" t="s">
        <v>798</v>
      </c>
      <c r="B175" s="1">
        <v>0</v>
      </c>
      <c r="C175" s="1">
        <v>2.5000000000000001E-2</v>
      </c>
      <c r="D175" s="1">
        <v>0</v>
      </c>
      <c r="E175" s="1">
        <v>0.45</v>
      </c>
      <c r="F175" s="1">
        <v>0</v>
      </c>
      <c r="G175" s="1">
        <v>6.11E-3</v>
      </c>
      <c r="H175" s="1">
        <v>0</v>
      </c>
      <c r="I175" s="1">
        <v>0.126</v>
      </c>
      <c r="J175" s="1">
        <v>3.7200000000000002E-3</v>
      </c>
      <c r="K175" s="1">
        <v>5.7700000000000001E-2</v>
      </c>
      <c r="L175" s="1">
        <v>0.33100000000000002</v>
      </c>
      <c r="M175" s="1">
        <v>0</v>
      </c>
    </row>
    <row r="176" spans="1:13" x14ac:dyDescent="0.2">
      <c r="A176" t="s">
        <v>799</v>
      </c>
      <c r="B176" s="1">
        <v>0</v>
      </c>
      <c r="C176" s="1">
        <v>0</v>
      </c>
      <c r="D176" s="1">
        <v>0</v>
      </c>
      <c r="E176" s="1">
        <v>7.8399999999999997E-2</v>
      </c>
      <c r="F176" s="1">
        <v>0</v>
      </c>
      <c r="G176" s="1">
        <v>1.44E-2</v>
      </c>
      <c r="H176" s="1">
        <v>0</v>
      </c>
      <c r="I176" s="1">
        <v>8.09E-2</v>
      </c>
      <c r="J176" s="1">
        <v>1.9199999999999998E-2</v>
      </c>
      <c r="K176" s="1">
        <v>0.80700000000000005</v>
      </c>
      <c r="L176" s="1">
        <v>0</v>
      </c>
      <c r="M176" s="1">
        <v>0</v>
      </c>
    </row>
    <row r="177" spans="1:13" x14ac:dyDescent="0.2">
      <c r="A177" t="s">
        <v>800</v>
      </c>
      <c r="B177" s="1">
        <v>0</v>
      </c>
      <c r="C177" s="1">
        <v>1.6799999999999999E-2</v>
      </c>
      <c r="D177" s="1">
        <v>0</v>
      </c>
      <c r="E177" s="1">
        <v>0.47099999999999997</v>
      </c>
      <c r="F177" s="1">
        <v>0</v>
      </c>
      <c r="G177" s="1">
        <v>3.15E-3</v>
      </c>
      <c r="H177" s="1">
        <v>0.182</v>
      </c>
      <c r="I177" s="1">
        <v>6.08E-2</v>
      </c>
      <c r="J177" s="1">
        <v>5.8799999999999998E-3</v>
      </c>
      <c r="K177" s="1">
        <v>3.3700000000000001E-2</v>
      </c>
      <c r="L177" s="1">
        <v>0.22700000000000001</v>
      </c>
      <c r="M177" s="1">
        <v>0</v>
      </c>
    </row>
    <row r="178" spans="1:13" x14ac:dyDescent="0.2">
      <c r="A178" t="s">
        <v>801</v>
      </c>
      <c r="B178" s="1">
        <v>8.8299999999999993E-3</v>
      </c>
      <c r="C178" s="1">
        <v>0</v>
      </c>
      <c r="D178" s="1">
        <v>0</v>
      </c>
      <c r="E178" s="1">
        <v>9.9299999999999999E-2</v>
      </c>
      <c r="F178" s="1">
        <v>0</v>
      </c>
      <c r="G178" s="1">
        <v>0.16400000000000001</v>
      </c>
      <c r="H178" s="1">
        <v>3.4000000000000002E-2</v>
      </c>
      <c r="I178" s="1">
        <v>5.6399999999999999E-2</v>
      </c>
      <c r="J178" s="1">
        <v>0</v>
      </c>
      <c r="K178" s="1">
        <v>0.23200000000000001</v>
      </c>
      <c r="L178" s="1">
        <v>0.40600000000000003</v>
      </c>
      <c r="M178" s="1">
        <v>0</v>
      </c>
    </row>
    <row r="179" spans="1:13" x14ac:dyDescent="0.2">
      <c r="A179" t="s">
        <v>802</v>
      </c>
      <c r="B179" s="1">
        <v>0</v>
      </c>
      <c r="C179" s="1">
        <v>0</v>
      </c>
      <c r="D179" s="1">
        <v>0</v>
      </c>
      <c r="E179" s="1">
        <v>4.6199999999999998E-2</v>
      </c>
      <c r="F179" s="1">
        <v>0</v>
      </c>
      <c r="G179" s="1">
        <v>1.41E-2</v>
      </c>
      <c r="H179" s="1">
        <v>0</v>
      </c>
      <c r="I179" s="1">
        <v>2.41E-2</v>
      </c>
      <c r="J179" s="1">
        <v>0</v>
      </c>
      <c r="K179" s="1">
        <v>7.1900000000000006E-2</v>
      </c>
      <c r="L179" s="1">
        <v>0.84399999999999997</v>
      </c>
      <c r="M179" s="1">
        <v>0</v>
      </c>
    </row>
    <row r="180" spans="1:13" x14ac:dyDescent="0.2">
      <c r="A180" t="s">
        <v>803</v>
      </c>
      <c r="B180" s="1">
        <v>4.7499999999999999E-3</v>
      </c>
      <c r="C180" s="1">
        <v>0</v>
      </c>
      <c r="D180" s="1">
        <v>0</v>
      </c>
      <c r="E180" s="1">
        <v>0.495</v>
      </c>
      <c r="F180" s="1">
        <v>0</v>
      </c>
      <c r="G180" s="1">
        <v>1.3899999999999999E-2</v>
      </c>
      <c r="H180" s="1">
        <v>0.215</v>
      </c>
      <c r="I180" s="1">
        <v>0.13100000000000001</v>
      </c>
      <c r="J180" s="1">
        <v>0</v>
      </c>
      <c r="K180" s="1">
        <v>0.14000000000000001</v>
      </c>
      <c r="L180" s="1">
        <v>0</v>
      </c>
      <c r="M180" s="1">
        <v>0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1"/>
  <sheetViews>
    <sheetView workbookViewId="0">
      <selection activeCell="J26" sqref="J26"/>
    </sheetView>
  </sheetViews>
  <sheetFormatPr baseColWidth="10" defaultRowHeight="15" x14ac:dyDescent="0.2"/>
  <sheetData>
    <row r="1" spans="1:5" x14ac:dyDescent="0.2">
      <c r="A1" t="s">
        <v>823</v>
      </c>
      <c r="B1" t="s">
        <v>817</v>
      </c>
      <c r="C1" t="s">
        <v>808</v>
      </c>
      <c r="D1" t="s">
        <v>807</v>
      </c>
      <c r="E1" t="s">
        <v>809</v>
      </c>
    </row>
    <row r="2" spans="1:5" x14ac:dyDescent="0.2">
      <c r="A2" t="s">
        <v>824</v>
      </c>
      <c r="B2" t="s">
        <v>9</v>
      </c>
      <c r="C2">
        <v>0.63230769230769202</v>
      </c>
      <c r="D2">
        <v>1.38384615384615</v>
      </c>
      <c r="E2">
        <v>1.71538461538462E-2</v>
      </c>
    </row>
    <row r="3" spans="1:5" x14ac:dyDescent="0.2">
      <c r="A3" t="s">
        <v>824</v>
      </c>
      <c r="B3" t="s">
        <v>10</v>
      </c>
      <c r="C3" s="1">
        <v>3.2213740458015299E-7</v>
      </c>
      <c r="D3">
        <v>1.4961832061068701</v>
      </c>
      <c r="E3">
        <v>1.22519083969466</v>
      </c>
    </row>
    <row r="4" spans="1:5" x14ac:dyDescent="0.2">
      <c r="A4" t="s">
        <v>824</v>
      </c>
      <c r="B4" t="s">
        <v>11</v>
      </c>
      <c r="C4">
        <v>1</v>
      </c>
      <c r="D4">
        <v>1</v>
      </c>
      <c r="E4">
        <v>41289.782244556103</v>
      </c>
    </row>
    <row r="5" spans="1:5" x14ac:dyDescent="0.2">
      <c r="A5" t="s">
        <v>824</v>
      </c>
      <c r="B5" t="s">
        <v>1</v>
      </c>
      <c r="C5">
        <v>1.6956521739130399</v>
      </c>
      <c r="D5">
        <v>9.9542334096109795E-4</v>
      </c>
      <c r="E5">
        <v>2.7231121281464499</v>
      </c>
    </row>
    <row r="6" spans="1:5" x14ac:dyDescent="0.2">
      <c r="A6" t="s">
        <v>824</v>
      </c>
      <c r="B6" t="s">
        <v>3</v>
      </c>
      <c r="C6">
        <v>1</v>
      </c>
      <c r="D6">
        <v>1</v>
      </c>
      <c r="E6">
        <v>1</v>
      </c>
    </row>
    <row r="7" spans="1:5" x14ac:dyDescent="0.2">
      <c r="A7" t="s">
        <v>824</v>
      </c>
      <c r="B7" t="s">
        <v>2</v>
      </c>
      <c r="C7">
        <v>1</v>
      </c>
      <c r="D7">
        <v>1</v>
      </c>
      <c r="E7">
        <v>1</v>
      </c>
    </row>
    <row r="8" spans="1:5" x14ac:dyDescent="0.2">
      <c r="A8" t="s">
        <v>824</v>
      </c>
      <c r="B8" t="s">
        <v>4</v>
      </c>
      <c r="C8">
        <v>0.35631578947368397</v>
      </c>
      <c r="D8">
        <v>1.4552631578947399</v>
      </c>
      <c r="E8">
        <v>0.72368421052631604</v>
      </c>
    </row>
    <row r="9" spans="1:5" x14ac:dyDescent="0.2">
      <c r="A9" t="s">
        <v>824</v>
      </c>
      <c r="B9" t="s">
        <v>5</v>
      </c>
      <c r="C9">
        <v>8.7972508591065299E-2</v>
      </c>
      <c r="D9">
        <v>0.58247422680412397</v>
      </c>
      <c r="E9" s="1">
        <v>1.4536082474226799E-6</v>
      </c>
    </row>
    <row r="10" spans="1:5" x14ac:dyDescent="0.2">
      <c r="A10" t="s">
        <v>824</v>
      </c>
      <c r="B10" t="s">
        <v>6</v>
      </c>
      <c r="C10">
        <v>0.22473118279569901</v>
      </c>
      <c r="D10">
        <v>1.6048387096774199</v>
      </c>
      <c r="E10">
        <v>0.46639784946236601</v>
      </c>
    </row>
    <row r="11" spans="1:5" x14ac:dyDescent="0.2">
      <c r="A11" t="s">
        <v>824</v>
      </c>
      <c r="B11" t="s">
        <v>7</v>
      </c>
      <c r="C11">
        <v>0.25786163522012601</v>
      </c>
      <c r="D11">
        <v>1.0251572327044001</v>
      </c>
      <c r="E11">
        <v>1.07547169811321</v>
      </c>
    </row>
    <row r="12" spans="1:5" x14ac:dyDescent="0.2">
      <c r="A12" t="s">
        <v>824</v>
      </c>
      <c r="B12" t="s">
        <v>8</v>
      </c>
      <c r="C12">
        <v>0.22242152466367701</v>
      </c>
      <c r="D12">
        <v>1.34977578475336</v>
      </c>
      <c r="E12">
        <v>0.81838565022421506</v>
      </c>
    </row>
    <row r="13" spans="1:5" x14ac:dyDescent="0.2">
      <c r="A13" t="s">
        <v>824</v>
      </c>
      <c r="B13" t="s">
        <v>12</v>
      </c>
      <c r="C13">
        <v>0.64356435643564402</v>
      </c>
      <c r="D13">
        <v>1.6608910891089099</v>
      </c>
      <c r="E13" s="1">
        <v>2.10891089108911E-6</v>
      </c>
    </row>
    <row r="14" spans="1:5" x14ac:dyDescent="0.2">
      <c r="A14" t="s">
        <v>825</v>
      </c>
      <c r="B14" t="s">
        <v>9</v>
      </c>
      <c r="C14">
        <v>0.305593451568895</v>
      </c>
      <c r="D14">
        <v>0.97953615279672601</v>
      </c>
      <c r="E14">
        <v>1.31819918144611E-3</v>
      </c>
    </row>
    <row r="15" spans="1:5" x14ac:dyDescent="0.2">
      <c r="A15" t="s">
        <v>825</v>
      </c>
      <c r="B15" t="s">
        <v>10</v>
      </c>
      <c r="C15" s="1">
        <v>1.688E-7</v>
      </c>
      <c r="D15">
        <v>1.0660000000000001</v>
      </c>
      <c r="E15">
        <v>0.73</v>
      </c>
    </row>
    <row r="16" spans="1:5" x14ac:dyDescent="0.2">
      <c r="A16" t="s">
        <v>825</v>
      </c>
      <c r="B16" t="s">
        <v>11</v>
      </c>
      <c r="C16">
        <v>1.7874251497005999E-4</v>
      </c>
      <c r="D16">
        <v>7.4700598802395204</v>
      </c>
      <c r="E16">
        <v>5.9131736526946099</v>
      </c>
    </row>
    <row r="17" spans="1:5" x14ac:dyDescent="0.2">
      <c r="A17" t="s">
        <v>825</v>
      </c>
      <c r="B17" t="s">
        <v>1</v>
      </c>
      <c r="C17">
        <v>0.64</v>
      </c>
      <c r="D17">
        <v>1.9333333333333301E-4</v>
      </c>
      <c r="E17">
        <v>0.69777777777777805</v>
      </c>
    </row>
    <row r="18" spans="1:5" x14ac:dyDescent="0.2">
      <c r="A18" t="s">
        <v>825</v>
      </c>
      <c r="B18" t="s">
        <v>3</v>
      </c>
      <c r="C18">
        <v>1</v>
      </c>
      <c r="D18">
        <v>1</v>
      </c>
      <c r="E18">
        <v>1</v>
      </c>
    </row>
    <row r="19" spans="1:5" x14ac:dyDescent="0.2">
      <c r="A19" t="s">
        <v>825</v>
      </c>
      <c r="B19" t="s">
        <v>2</v>
      </c>
      <c r="C19">
        <v>1</v>
      </c>
      <c r="D19">
        <v>1</v>
      </c>
      <c r="E19">
        <v>1</v>
      </c>
    </row>
    <row r="20" spans="1:5" x14ac:dyDescent="0.2">
      <c r="A20" t="s">
        <v>825</v>
      </c>
      <c r="B20" t="s">
        <v>4</v>
      </c>
      <c r="C20">
        <v>1.2321428571428601</v>
      </c>
      <c r="D20">
        <v>1.5321428571428599</v>
      </c>
      <c r="E20">
        <v>0.68571428571428605</v>
      </c>
    </row>
    <row r="21" spans="1:5" x14ac:dyDescent="0.2">
      <c r="A21" t="s">
        <v>825</v>
      </c>
      <c r="B21" t="s">
        <v>5</v>
      </c>
      <c r="C21">
        <v>0.47045191193510999</v>
      </c>
      <c r="D21">
        <v>1.1853997682502899</v>
      </c>
      <c r="E21" s="1">
        <v>9.8030127462340706E-7</v>
      </c>
    </row>
    <row r="22" spans="1:5" x14ac:dyDescent="0.2">
      <c r="A22" t="s">
        <v>825</v>
      </c>
      <c r="B22" t="s">
        <v>6</v>
      </c>
      <c r="C22">
        <v>0.56279809220985699</v>
      </c>
      <c r="D22">
        <v>1.04213036565978</v>
      </c>
      <c r="E22">
        <v>0.43561208267090601</v>
      </c>
    </row>
    <row r="23" spans="1:5" x14ac:dyDescent="0.2">
      <c r="A23" t="s">
        <v>825</v>
      </c>
      <c r="B23" t="s">
        <v>7</v>
      </c>
      <c r="C23">
        <v>1.1097372488407999</v>
      </c>
      <c r="D23">
        <v>1.24265842349304</v>
      </c>
      <c r="E23">
        <v>0.55177743431221005</v>
      </c>
    </row>
    <row r="24" spans="1:5" x14ac:dyDescent="0.2">
      <c r="A24" t="s">
        <v>825</v>
      </c>
      <c r="B24" t="s">
        <v>8</v>
      </c>
      <c r="C24">
        <v>0.72517321016166303</v>
      </c>
      <c r="D24">
        <v>1.0030792917628899</v>
      </c>
      <c r="E24">
        <v>0.71285604311008499</v>
      </c>
    </row>
    <row r="25" spans="1:5" x14ac:dyDescent="0.2">
      <c r="A25" t="s">
        <v>825</v>
      </c>
      <c r="B25" t="s">
        <v>12</v>
      </c>
      <c r="C25">
        <v>0.31231884057970999</v>
      </c>
      <c r="D25">
        <v>1.1920289855072499</v>
      </c>
      <c r="E25" s="1">
        <v>3.0869565217391302E-7</v>
      </c>
    </row>
    <row r="26" spans="1:5" x14ac:dyDescent="0.2">
      <c r="A26" t="s">
        <v>826</v>
      </c>
      <c r="B26" t="s">
        <v>9</v>
      </c>
      <c r="C26">
        <v>0.29310344827586199</v>
      </c>
      <c r="D26">
        <v>0.88505747126436796</v>
      </c>
      <c r="E26">
        <v>1.12931034482759E-2</v>
      </c>
    </row>
    <row r="27" spans="1:5" x14ac:dyDescent="0.2">
      <c r="A27" t="s">
        <v>826</v>
      </c>
      <c r="B27" t="s">
        <v>10</v>
      </c>
      <c r="C27" s="1">
        <v>1.2321167883211699E-7</v>
      </c>
      <c r="D27">
        <v>0.97518248175182498</v>
      </c>
      <c r="E27">
        <v>0.88759124087591201</v>
      </c>
    </row>
    <row r="28" spans="1:5" x14ac:dyDescent="0.2">
      <c r="A28" t="s">
        <v>826</v>
      </c>
      <c r="B28" t="s">
        <v>11</v>
      </c>
      <c r="C28">
        <v>1</v>
      </c>
      <c r="D28">
        <v>7721.9430485762095</v>
      </c>
      <c r="E28">
        <v>103182.579564489</v>
      </c>
    </row>
    <row r="29" spans="1:5" x14ac:dyDescent="0.2">
      <c r="A29" t="s">
        <v>826</v>
      </c>
      <c r="B29" t="s">
        <v>1</v>
      </c>
      <c r="C29">
        <v>1.2529880478087601</v>
      </c>
      <c r="D29">
        <v>1.73306772908367E-4</v>
      </c>
      <c r="E29">
        <v>0.80478087649402397</v>
      </c>
    </row>
    <row r="30" spans="1:5" x14ac:dyDescent="0.2">
      <c r="A30" t="s">
        <v>826</v>
      </c>
      <c r="B30" t="s">
        <v>3</v>
      </c>
      <c r="C30">
        <v>1</v>
      </c>
      <c r="D30">
        <v>1</v>
      </c>
      <c r="E30">
        <v>1</v>
      </c>
    </row>
    <row r="31" spans="1:5" x14ac:dyDescent="0.2">
      <c r="A31" t="s">
        <v>826</v>
      </c>
      <c r="B31" t="s">
        <v>2</v>
      </c>
      <c r="C31">
        <v>411.48901098901098</v>
      </c>
      <c r="D31">
        <v>1</v>
      </c>
      <c r="E31">
        <v>1</v>
      </c>
    </row>
    <row r="32" spans="1:5" x14ac:dyDescent="0.2">
      <c r="A32" t="s">
        <v>826</v>
      </c>
      <c r="B32" t="s">
        <v>4</v>
      </c>
      <c r="C32">
        <v>1.1605562579013899</v>
      </c>
      <c r="D32">
        <v>0.74841972187104899</v>
      </c>
      <c r="E32">
        <v>0.55625790139064502</v>
      </c>
    </row>
    <row r="33" spans="1:5" x14ac:dyDescent="0.2">
      <c r="A33" t="s">
        <v>826</v>
      </c>
      <c r="B33" t="s">
        <v>5</v>
      </c>
      <c r="C33">
        <v>0.40922844175491702</v>
      </c>
      <c r="D33">
        <v>0.56732223903177004</v>
      </c>
      <c r="E33" s="1">
        <v>6.39939485627837E-7</v>
      </c>
    </row>
    <row r="34" spans="1:5" x14ac:dyDescent="0.2">
      <c r="A34" t="s">
        <v>826</v>
      </c>
      <c r="B34" t="s">
        <v>6</v>
      </c>
      <c r="C34">
        <v>0.78867924528301903</v>
      </c>
      <c r="D34">
        <v>0.63207547169811296</v>
      </c>
      <c r="E34">
        <v>0.56415094339622596</v>
      </c>
    </row>
    <row r="35" spans="1:5" x14ac:dyDescent="0.2">
      <c r="A35" t="s">
        <v>826</v>
      </c>
      <c r="B35" t="s">
        <v>7</v>
      </c>
      <c r="C35">
        <v>0.51035625517812799</v>
      </c>
      <c r="D35">
        <v>0.61640430820215397</v>
      </c>
      <c r="E35">
        <v>0.43579121789560898</v>
      </c>
    </row>
    <row r="36" spans="1:5" x14ac:dyDescent="0.2">
      <c r="A36" t="s">
        <v>826</v>
      </c>
      <c r="B36" t="s">
        <v>8</v>
      </c>
      <c r="C36">
        <v>0.90239625949737001</v>
      </c>
      <c r="D36">
        <v>0.83576855639976599</v>
      </c>
      <c r="E36">
        <v>0.83343074225599101</v>
      </c>
    </row>
    <row r="37" spans="1:5" x14ac:dyDescent="0.2">
      <c r="A37" t="s">
        <v>826</v>
      </c>
      <c r="B37" t="s">
        <v>12</v>
      </c>
      <c r="C37">
        <v>0.94505494505494503</v>
      </c>
      <c r="D37">
        <v>0.97435897435897401</v>
      </c>
      <c r="E37" s="1">
        <v>3.1208791208791199E-7</v>
      </c>
    </row>
    <row r="38" spans="1:5" x14ac:dyDescent="0.2">
      <c r="A38" t="s">
        <v>827</v>
      </c>
      <c r="B38" t="s">
        <v>9</v>
      </c>
      <c r="C38">
        <v>0.32804232804232802</v>
      </c>
      <c r="D38">
        <v>8.3597883597883602E-2</v>
      </c>
      <c r="E38">
        <v>8.9735449735449705E-4</v>
      </c>
    </row>
    <row r="39" spans="1:5" x14ac:dyDescent="0.2">
      <c r="A39" t="s">
        <v>827</v>
      </c>
      <c r="B39" t="s">
        <v>10</v>
      </c>
      <c r="C39">
        <v>3.4904880066170401E-4</v>
      </c>
      <c r="D39">
        <v>7.1215880893300207E-2</v>
      </c>
      <c r="E39">
        <v>1.1869313482216699</v>
      </c>
    </row>
    <row r="40" spans="1:5" x14ac:dyDescent="0.2">
      <c r="A40" t="s">
        <v>827</v>
      </c>
      <c r="B40" t="s">
        <v>11</v>
      </c>
      <c r="C40" s="1">
        <v>5.5023041474654398E-5</v>
      </c>
      <c r="D40">
        <v>0.28755760368663602</v>
      </c>
      <c r="E40">
        <v>1.1797235023041499</v>
      </c>
    </row>
    <row r="41" spans="1:5" x14ac:dyDescent="0.2">
      <c r="A41" t="s">
        <v>827</v>
      </c>
      <c r="B41" t="s">
        <v>1</v>
      </c>
      <c r="C41">
        <v>4.5988258317025403</v>
      </c>
      <c r="D41">
        <v>1.7025440313111499E-3</v>
      </c>
      <c r="E41">
        <v>0.132358121330724</v>
      </c>
    </row>
    <row r="42" spans="1:5" x14ac:dyDescent="0.2">
      <c r="A42" t="s">
        <v>827</v>
      </c>
      <c r="B42" t="s">
        <v>3</v>
      </c>
      <c r="C42">
        <v>1</v>
      </c>
      <c r="D42">
        <v>1</v>
      </c>
      <c r="E42">
        <v>1</v>
      </c>
    </row>
    <row r="43" spans="1:5" x14ac:dyDescent="0.2">
      <c r="A43" t="s">
        <v>827</v>
      </c>
      <c r="B43" t="s">
        <v>2</v>
      </c>
      <c r="C43">
        <v>1</v>
      </c>
      <c r="D43">
        <v>1</v>
      </c>
      <c r="E43">
        <v>1</v>
      </c>
    </row>
    <row r="44" spans="1:5" x14ac:dyDescent="0.2">
      <c r="A44" t="s">
        <v>827</v>
      </c>
      <c r="B44" t="s">
        <v>4</v>
      </c>
      <c r="C44">
        <v>1.39103554868624</v>
      </c>
      <c r="D44">
        <v>0.28469860896445098</v>
      </c>
      <c r="E44">
        <v>9.4126738794435898</v>
      </c>
    </row>
    <row r="45" spans="1:5" x14ac:dyDescent="0.2">
      <c r="A45" t="s">
        <v>827</v>
      </c>
      <c r="B45" t="s">
        <v>5</v>
      </c>
      <c r="C45">
        <v>1.8585452922802299</v>
      </c>
      <c r="D45">
        <v>0.50870147255689402</v>
      </c>
      <c r="E45">
        <v>1.88755020080321E-3</v>
      </c>
    </row>
    <row r="46" spans="1:5" x14ac:dyDescent="0.2">
      <c r="A46" t="s">
        <v>827</v>
      </c>
      <c r="B46" t="s">
        <v>6</v>
      </c>
      <c r="C46">
        <v>0.69112426035503005</v>
      </c>
      <c r="D46">
        <v>0.58106508875739604</v>
      </c>
      <c r="E46">
        <v>0.25502958579881702</v>
      </c>
    </row>
    <row r="47" spans="1:5" x14ac:dyDescent="0.2">
      <c r="A47" t="s">
        <v>827</v>
      </c>
      <c r="B47" t="s">
        <v>7</v>
      </c>
      <c r="C47">
        <v>1.85074626865672</v>
      </c>
      <c r="D47">
        <v>8.1515499425947199E-2</v>
      </c>
      <c r="E47">
        <v>5.5568312284730199</v>
      </c>
    </row>
    <row r="48" spans="1:5" x14ac:dyDescent="0.2">
      <c r="A48" t="s">
        <v>827</v>
      </c>
      <c r="B48" t="s">
        <v>8</v>
      </c>
      <c r="C48">
        <v>1.02135894495413</v>
      </c>
      <c r="D48">
        <v>1.2557339449541299E-3</v>
      </c>
      <c r="E48">
        <v>1.9667431192660501</v>
      </c>
    </row>
    <row r="49" spans="1:5" x14ac:dyDescent="0.2">
      <c r="A49" t="s">
        <v>827</v>
      </c>
      <c r="B49" t="s">
        <v>12</v>
      </c>
      <c r="C49">
        <v>0.88911704312115003</v>
      </c>
      <c r="D49">
        <v>0.26488706365503101</v>
      </c>
      <c r="E49" s="1">
        <v>8.7474332648870604E-5</v>
      </c>
    </row>
    <row r="50" spans="1:5" x14ac:dyDescent="0.2">
      <c r="A50" t="s">
        <v>828</v>
      </c>
      <c r="B50" t="s">
        <v>9</v>
      </c>
      <c r="C50">
        <v>1.54345307068366</v>
      </c>
      <c r="D50">
        <v>2.2363847045191201</v>
      </c>
      <c r="E50">
        <v>4.91309385863268E-3</v>
      </c>
    </row>
    <row r="51" spans="1:5" x14ac:dyDescent="0.2">
      <c r="A51" t="s">
        <v>828</v>
      </c>
      <c r="B51" t="s">
        <v>10</v>
      </c>
      <c r="C51">
        <v>2.1421319796954301E-4</v>
      </c>
      <c r="D51">
        <v>0.85786802030456899</v>
      </c>
      <c r="E51">
        <v>2.1421319796954301</v>
      </c>
    </row>
    <row r="52" spans="1:5" x14ac:dyDescent="0.2">
      <c r="A52" t="s">
        <v>828</v>
      </c>
      <c r="B52" t="s">
        <v>11</v>
      </c>
      <c r="C52" s="1">
        <v>8.3554933519943997E-5</v>
      </c>
      <c r="D52">
        <v>0.59482155353393995</v>
      </c>
      <c r="E52">
        <v>6.0391882435269402</v>
      </c>
    </row>
    <row r="53" spans="1:5" x14ac:dyDescent="0.2">
      <c r="A53" t="s">
        <v>828</v>
      </c>
      <c r="B53" t="s">
        <v>1</v>
      </c>
      <c r="C53">
        <v>16.135617289429302</v>
      </c>
      <c r="D53">
        <v>1.54433300789917E-2</v>
      </c>
      <c r="E53">
        <v>4.7679062749622796</v>
      </c>
    </row>
    <row r="54" spans="1:5" x14ac:dyDescent="0.2">
      <c r="A54" t="s">
        <v>828</v>
      </c>
      <c r="B54" t="s">
        <v>3</v>
      </c>
      <c r="C54">
        <v>1</v>
      </c>
      <c r="D54">
        <v>1</v>
      </c>
      <c r="E54">
        <v>1</v>
      </c>
    </row>
    <row r="55" spans="1:5" x14ac:dyDescent="0.2">
      <c r="A55" t="s">
        <v>828</v>
      </c>
      <c r="B55" t="s">
        <v>2</v>
      </c>
      <c r="C55">
        <v>1</v>
      </c>
      <c r="D55">
        <v>1</v>
      </c>
      <c r="E55">
        <v>1</v>
      </c>
    </row>
    <row r="56" spans="1:5" x14ac:dyDescent="0.2">
      <c r="A56" t="s">
        <v>828</v>
      </c>
      <c r="B56" t="s">
        <v>4</v>
      </c>
      <c r="C56">
        <v>1.27547592385218</v>
      </c>
      <c r="D56">
        <v>1.99776035834267</v>
      </c>
      <c r="E56">
        <v>3.5274356103023501</v>
      </c>
    </row>
    <row r="57" spans="1:5" x14ac:dyDescent="0.2">
      <c r="A57" t="s">
        <v>828</v>
      </c>
      <c r="B57" t="s">
        <v>5</v>
      </c>
      <c r="C57">
        <v>1.25954198473282</v>
      </c>
      <c r="D57">
        <v>2.2010178117048298</v>
      </c>
      <c r="E57">
        <v>1.7938931297709899E-3</v>
      </c>
    </row>
    <row r="58" spans="1:5" x14ac:dyDescent="0.2">
      <c r="A58" t="s">
        <v>828</v>
      </c>
      <c r="B58" t="s">
        <v>6</v>
      </c>
      <c r="C58">
        <v>1.53289473684211</v>
      </c>
      <c r="D58">
        <v>2.2697368421052602</v>
      </c>
      <c r="E58">
        <v>1.15953947368421</v>
      </c>
    </row>
    <row r="59" spans="1:5" x14ac:dyDescent="0.2">
      <c r="A59" t="s">
        <v>828</v>
      </c>
      <c r="B59" t="s">
        <v>7</v>
      </c>
      <c r="C59">
        <v>2.2075055187638002</v>
      </c>
      <c r="D59">
        <v>1.58057395143488</v>
      </c>
      <c r="E59">
        <v>0.95320088300220795</v>
      </c>
    </row>
    <row r="60" spans="1:5" x14ac:dyDescent="0.2">
      <c r="A60" t="s">
        <v>828</v>
      </c>
      <c r="B60" t="s">
        <v>8</v>
      </c>
      <c r="C60">
        <v>2.16766467065868</v>
      </c>
      <c r="D60">
        <v>1.65568862275449</v>
      </c>
      <c r="E60">
        <v>3.92215568862275</v>
      </c>
    </row>
    <row r="61" spans="1:5" x14ac:dyDescent="0.2">
      <c r="A61" t="s">
        <v>828</v>
      </c>
      <c r="B61" t="s">
        <v>12</v>
      </c>
      <c r="C61">
        <v>1.2610441767068299</v>
      </c>
      <c r="D61">
        <v>0.74297188755020105</v>
      </c>
      <c r="E61">
        <v>1.7108433734939801E-4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8"/>
  <sheetViews>
    <sheetView workbookViewId="0">
      <selection activeCell="L29" sqref="L29"/>
    </sheetView>
  </sheetViews>
  <sheetFormatPr baseColWidth="10" defaultRowHeight="15" x14ac:dyDescent="0.2"/>
  <sheetData>
    <row r="1" spans="1:6" x14ac:dyDescent="0.2">
      <c r="A1" t="s">
        <v>811</v>
      </c>
      <c r="B1" t="s">
        <v>623</v>
      </c>
      <c r="C1" t="s">
        <v>812</v>
      </c>
      <c r="D1" t="s">
        <v>813</v>
      </c>
      <c r="E1" t="s">
        <v>814</v>
      </c>
      <c r="F1" t="s">
        <v>815</v>
      </c>
    </row>
    <row r="2" spans="1:6" x14ac:dyDescent="0.2">
      <c r="A2" s="3">
        <v>2573</v>
      </c>
      <c r="B2" s="3" t="s">
        <v>617</v>
      </c>
      <c r="C2" s="4" t="s">
        <v>805</v>
      </c>
      <c r="D2" s="5">
        <v>19.559999999999999</v>
      </c>
      <c r="E2" s="5">
        <v>0.49</v>
      </c>
      <c r="F2" s="5">
        <f>E2/D2*100</f>
        <v>2.5051124744376279</v>
      </c>
    </row>
    <row r="3" spans="1:6" x14ac:dyDescent="0.2">
      <c r="A3" s="3">
        <v>2574</v>
      </c>
      <c r="B3" s="3" t="s">
        <v>617</v>
      </c>
      <c r="C3" s="4" t="s">
        <v>805</v>
      </c>
      <c r="D3" s="6">
        <v>20.81</v>
      </c>
      <c r="E3" s="6">
        <v>0.83</v>
      </c>
      <c r="F3" s="6">
        <f t="shared" ref="F3:F7" si="0">E3/D3*100</f>
        <v>3.9884670831331093</v>
      </c>
    </row>
    <row r="4" spans="1:6" x14ac:dyDescent="0.2">
      <c r="A4" s="3">
        <v>2575</v>
      </c>
      <c r="B4" s="3" t="s">
        <v>617</v>
      </c>
      <c r="C4" s="4" t="s">
        <v>805</v>
      </c>
      <c r="D4" s="6">
        <v>21.1</v>
      </c>
      <c r="E4" s="6">
        <v>0.63</v>
      </c>
      <c r="F4" s="6">
        <f t="shared" si="0"/>
        <v>2.985781990521327</v>
      </c>
    </row>
    <row r="5" spans="1:6" x14ac:dyDescent="0.2">
      <c r="A5" s="3">
        <v>2576</v>
      </c>
      <c r="B5" s="3" t="s">
        <v>617</v>
      </c>
      <c r="C5" s="4" t="s">
        <v>806</v>
      </c>
      <c r="D5" s="6">
        <v>24.65</v>
      </c>
      <c r="E5" s="6">
        <v>0.34</v>
      </c>
      <c r="F5" s="6">
        <f t="shared" si="0"/>
        <v>1.3793103448275863</v>
      </c>
    </row>
    <row r="6" spans="1:6" x14ac:dyDescent="0.2">
      <c r="A6" s="3">
        <v>2577</v>
      </c>
      <c r="B6" s="3" t="s">
        <v>617</v>
      </c>
      <c r="C6" s="4" t="s">
        <v>806</v>
      </c>
      <c r="D6" s="6">
        <v>25.23</v>
      </c>
      <c r="E6" s="6">
        <v>0.71</v>
      </c>
      <c r="F6" s="6">
        <f t="shared" si="0"/>
        <v>2.8141101862861668</v>
      </c>
    </row>
    <row r="7" spans="1:6" x14ac:dyDescent="0.2">
      <c r="A7" s="3">
        <v>2578</v>
      </c>
      <c r="B7" s="3" t="s">
        <v>617</v>
      </c>
      <c r="C7" s="4" t="s">
        <v>806</v>
      </c>
      <c r="D7" s="6">
        <v>24.71</v>
      </c>
      <c r="E7" s="6">
        <v>0.89</v>
      </c>
      <c r="F7" s="6">
        <f t="shared" si="0"/>
        <v>3.6017806556050185</v>
      </c>
    </row>
    <row r="8" spans="1:6" x14ac:dyDescent="0.2">
      <c r="A8" s="3">
        <v>2541</v>
      </c>
      <c r="B8" s="3" t="s">
        <v>614</v>
      </c>
      <c r="C8" s="4" t="s">
        <v>806</v>
      </c>
      <c r="D8" s="6">
        <v>26.86</v>
      </c>
      <c r="E8" s="6">
        <v>2.5299999999999998</v>
      </c>
      <c r="F8" s="6">
        <f>E8/D8*100</f>
        <v>9.4192107222635872</v>
      </c>
    </row>
    <row r="9" spans="1:6" x14ac:dyDescent="0.2">
      <c r="A9" s="3">
        <v>2542</v>
      </c>
      <c r="B9" s="3" t="s">
        <v>614</v>
      </c>
      <c r="C9" s="4" t="s">
        <v>806</v>
      </c>
      <c r="D9" s="6">
        <v>26.12</v>
      </c>
      <c r="E9" s="6">
        <v>2.33</v>
      </c>
      <c r="F9" s="6">
        <f t="shared" ref="F9:F12" si="1">E9/D9*100</f>
        <v>8.9203675344563553</v>
      </c>
    </row>
    <row r="10" spans="1:6" x14ac:dyDescent="0.2">
      <c r="A10" s="3">
        <v>2543</v>
      </c>
      <c r="B10" s="3" t="s">
        <v>614</v>
      </c>
      <c r="C10" s="4" t="s">
        <v>806</v>
      </c>
      <c r="D10" s="6">
        <v>25.79</v>
      </c>
      <c r="E10" s="6">
        <v>1.8</v>
      </c>
      <c r="F10" s="6">
        <f t="shared" si="1"/>
        <v>6.979449398991858</v>
      </c>
    </row>
    <row r="11" spans="1:6" x14ac:dyDescent="0.2">
      <c r="A11" s="3">
        <v>2544</v>
      </c>
      <c r="B11" s="3" t="s">
        <v>614</v>
      </c>
      <c r="C11" s="4" t="s">
        <v>806</v>
      </c>
      <c r="D11" s="6">
        <v>26.23</v>
      </c>
      <c r="E11" s="6">
        <v>2.31</v>
      </c>
      <c r="F11" s="6">
        <f t="shared" si="1"/>
        <v>8.8067098741898597</v>
      </c>
    </row>
    <row r="12" spans="1:6" x14ac:dyDescent="0.2">
      <c r="A12" s="3">
        <v>2545</v>
      </c>
      <c r="B12" s="3" t="s">
        <v>614</v>
      </c>
      <c r="C12" s="4" t="s">
        <v>806</v>
      </c>
      <c r="D12" s="6">
        <v>25.54</v>
      </c>
      <c r="E12" s="6">
        <v>1.65</v>
      </c>
      <c r="F12" s="6">
        <f t="shared" si="1"/>
        <v>6.4604541895066561</v>
      </c>
    </row>
    <row r="13" spans="1:6" x14ac:dyDescent="0.2">
      <c r="A13" s="3">
        <v>2546</v>
      </c>
      <c r="B13" s="3" t="s">
        <v>807</v>
      </c>
      <c r="C13" s="4" t="s">
        <v>806</v>
      </c>
      <c r="D13" s="6">
        <v>24.91</v>
      </c>
      <c r="E13" s="6">
        <v>1.46</v>
      </c>
      <c r="F13" s="6">
        <f>E13/D13*100</f>
        <v>5.8610999598554789</v>
      </c>
    </row>
    <row r="14" spans="1:6" x14ac:dyDescent="0.2">
      <c r="A14" s="3">
        <v>2547</v>
      </c>
      <c r="B14" s="3" t="s">
        <v>807</v>
      </c>
      <c r="C14" s="4" t="s">
        <v>806</v>
      </c>
      <c r="D14" s="6">
        <v>24.08</v>
      </c>
      <c r="E14" s="6">
        <v>1.44</v>
      </c>
      <c r="F14" s="6">
        <f t="shared" ref="F14:F17" si="2">E14/D14*100</f>
        <v>5.9800664451827243</v>
      </c>
    </row>
    <row r="15" spans="1:6" x14ac:dyDescent="0.2">
      <c r="A15" s="3">
        <v>2548</v>
      </c>
      <c r="B15" s="3" t="s">
        <v>807</v>
      </c>
      <c r="C15" s="4" t="s">
        <v>806</v>
      </c>
      <c r="D15" s="6">
        <v>27.28</v>
      </c>
      <c r="E15" s="6">
        <v>2.2599999999999998</v>
      </c>
      <c r="F15" s="6">
        <f t="shared" si="2"/>
        <v>8.284457478005864</v>
      </c>
    </row>
    <row r="16" spans="1:6" x14ac:dyDescent="0.2">
      <c r="A16" s="3">
        <v>2549</v>
      </c>
      <c r="B16" s="3" t="s">
        <v>807</v>
      </c>
      <c r="C16" s="4" t="s">
        <v>806</v>
      </c>
      <c r="D16" s="6">
        <v>27.29</v>
      </c>
      <c r="E16" s="6">
        <v>1.31</v>
      </c>
      <c r="F16" s="6">
        <f t="shared" si="2"/>
        <v>4.8002931476731412</v>
      </c>
    </row>
    <row r="17" spans="1:6" x14ac:dyDescent="0.2">
      <c r="A17" s="3">
        <v>2550</v>
      </c>
      <c r="B17" s="3" t="s">
        <v>807</v>
      </c>
      <c r="C17" s="4" t="s">
        <v>806</v>
      </c>
      <c r="D17" s="6">
        <v>26.86</v>
      </c>
      <c r="E17" s="6">
        <v>1.44</v>
      </c>
      <c r="F17" s="6">
        <f t="shared" si="2"/>
        <v>5.3611317944899479</v>
      </c>
    </row>
    <row r="18" spans="1:6" x14ac:dyDescent="0.2">
      <c r="A18" s="3">
        <v>2551</v>
      </c>
      <c r="B18" s="3" t="s">
        <v>808</v>
      </c>
      <c r="C18" s="4" t="s">
        <v>806</v>
      </c>
      <c r="D18" s="6">
        <v>26.45</v>
      </c>
      <c r="E18" s="6">
        <v>2.35</v>
      </c>
      <c r="F18" s="6">
        <f>E18/D18*100</f>
        <v>8.8846880907372405</v>
      </c>
    </row>
    <row r="19" spans="1:6" x14ac:dyDescent="0.2">
      <c r="A19" s="3">
        <v>2552</v>
      </c>
      <c r="B19" s="3" t="s">
        <v>808</v>
      </c>
      <c r="C19" s="4" t="s">
        <v>806</v>
      </c>
      <c r="D19" s="6">
        <v>27.47</v>
      </c>
      <c r="E19" s="6">
        <v>2.85</v>
      </c>
      <c r="F19" s="6">
        <f t="shared" ref="F19:F22" si="3">E19/D19*100</f>
        <v>10.374954495813615</v>
      </c>
    </row>
    <row r="20" spans="1:6" x14ac:dyDescent="0.2">
      <c r="A20" s="3">
        <v>2553</v>
      </c>
      <c r="B20" s="3" t="s">
        <v>808</v>
      </c>
      <c r="C20" s="4" t="s">
        <v>806</v>
      </c>
      <c r="D20" s="6">
        <v>28.59</v>
      </c>
      <c r="E20" s="3">
        <v>3.2</v>
      </c>
      <c r="F20" s="6">
        <f t="shared" si="3"/>
        <v>11.192724728926198</v>
      </c>
    </row>
    <row r="21" spans="1:6" x14ac:dyDescent="0.2">
      <c r="A21" s="3">
        <v>2554</v>
      </c>
      <c r="B21" s="3" t="s">
        <v>808</v>
      </c>
      <c r="C21" s="4" t="s">
        <v>806</v>
      </c>
      <c r="D21" s="3">
        <v>26.71</v>
      </c>
      <c r="E21" s="3">
        <v>2.2999999999999998</v>
      </c>
      <c r="F21" s="6">
        <f t="shared" si="3"/>
        <v>8.6110071134406585</v>
      </c>
    </row>
    <row r="22" spans="1:6" x14ac:dyDescent="0.2">
      <c r="A22" s="3">
        <v>2555</v>
      </c>
      <c r="B22" s="3" t="s">
        <v>808</v>
      </c>
      <c r="C22" s="4" t="s">
        <v>806</v>
      </c>
      <c r="D22" s="3">
        <v>27.8</v>
      </c>
      <c r="E22" s="3">
        <v>2.89</v>
      </c>
      <c r="F22" s="6">
        <f t="shared" si="3"/>
        <v>10.39568345323741</v>
      </c>
    </row>
    <row r="23" spans="1:6" x14ac:dyDescent="0.2">
      <c r="A23" s="3">
        <v>2556</v>
      </c>
      <c r="B23" s="3" t="s">
        <v>809</v>
      </c>
      <c r="C23" s="4" t="s">
        <v>805</v>
      </c>
      <c r="D23" s="3">
        <v>21.79</v>
      </c>
      <c r="E23" s="3">
        <v>0.81</v>
      </c>
      <c r="F23" s="7">
        <f>E23/D23*100</f>
        <v>3.7173015144561727</v>
      </c>
    </row>
    <row r="24" spans="1:6" x14ac:dyDescent="0.2">
      <c r="A24" s="3">
        <v>2557</v>
      </c>
      <c r="B24" s="3" t="s">
        <v>809</v>
      </c>
      <c r="C24" s="4" t="s">
        <v>805</v>
      </c>
      <c r="D24" s="3">
        <v>21.88</v>
      </c>
      <c r="E24" s="3">
        <v>1.72</v>
      </c>
      <c r="F24" s="7">
        <f t="shared" ref="F24:F26" si="4">E24/D24*100</f>
        <v>7.8610603290676417</v>
      </c>
    </row>
    <row r="25" spans="1:6" x14ac:dyDescent="0.2">
      <c r="A25" s="3">
        <v>2558</v>
      </c>
      <c r="B25" s="3" t="s">
        <v>809</v>
      </c>
      <c r="C25" s="4" t="s">
        <v>805</v>
      </c>
      <c r="D25" s="3">
        <v>20.79</v>
      </c>
      <c r="E25" s="3">
        <v>0.68</v>
      </c>
      <c r="F25" s="7">
        <f t="shared" si="4"/>
        <v>3.2708032708032713</v>
      </c>
    </row>
    <row r="26" spans="1:6" x14ac:dyDescent="0.2">
      <c r="A26" s="3">
        <v>2559</v>
      </c>
      <c r="B26" s="3" t="s">
        <v>809</v>
      </c>
      <c r="C26" s="4" t="s">
        <v>805</v>
      </c>
      <c r="D26" s="3">
        <v>20.61</v>
      </c>
      <c r="E26" s="3">
        <v>0.64</v>
      </c>
      <c r="F26" s="7">
        <f t="shared" si="4"/>
        <v>3.1052886948083458</v>
      </c>
    </row>
    <row r="27" spans="1:6" x14ac:dyDescent="0.2">
      <c r="A27" s="3">
        <v>2476</v>
      </c>
      <c r="B27" s="3" t="s">
        <v>614</v>
      </c>
      <c r="C27" s="4" t="s">
        <v>806</v>
      </c>
      <c r="D27" s="5">
        <v>26.26</v>
      </c>
      <c r="E27" s="5">
        <v>1.86</v>
      </c>
      <c r="F27" s="5">
        <f>E27/D27*100</f>
        <v>7.0830159939070825</v>
      </c>
    </row>
    <row r="28" spans="1:6" x14ac:dyDescent="0.2">
      <c r="A28" s="3">
        <v>2477</v>
      </c>
      <c r="B28" s="3" t="s">
        <v>614</v>
      </c>
      <c r="C28" s="4" t="s">
        <v>806</v>
      </c>
      <c r="D28" s="6">
        <v>25.13</v>
      </c>
      <c r="E28" s="6">
        <v>2.0299999999999998</v>
      </c>
      <c r="F28" s="6">
        <f t="shared" ref="F28:F38" si="5">E28/D28*100</f>
        <v>8.0779944289693599</v>
      </c>
    </row>
    <row r="29" spans="1:6" x14ac:dyDescent="0.2">
      <c r="A29" s="3">
        <v>2478</v>
      </c>
      <c r="B29" s="3" t="s">
        <v>614</v>
      </c>
      <c r="C29" s="4" t="s">
        <v>806</v>
      </c>
      <c r="D29" s="6">
        <v>25.87</v>
      </c>
      <c r="E29" s="6">
        <v>1.98</v>
      </c>
      <c r="F29" s="6">
        <f t="shared" si="5"/>
        <v>7.6536528797835333</v>
      </c>
    </row>
    <row r="30" spans="1:6" x14ac:dyDescent="0.2">
      <c r="A30" s="3">
        <v>2479</v>
      </c>
      <c r="B30" s="3" t="s">
        <v>615</v>
      </c>
      <c r="C30" s="4" t="s">
        <v>806</v>
      </c>
      <c r="D30" s="6">
        <v>27.18</v>
      </c>
      <c r="E30" s="6">
        <v>1.82</v>
      </c>
      <c r="F30" s="6">
        <f t="shared" si="5"/>
        <v>6.6961000735835174</v>
      </c>
    </row>
    <row r="31" spans="1:6" x14ac:dyDescent="0.2">
      <c r="A31" s="3">
        <v>2480</v>
      </c>
      <c r="B31" s="3" t="s">
        <v>615</v>
      </c>
      <c r="C31" s="4" t="s">
        <v>806</v>
      </c>
      <c r="D31" s="6">
        <v>27.65</v>
      </c>
      <c r="E31" s="6">
        <v>1.85</v>
      </c>
      <c r="F31" s="6">
        <f t="shared" si="5"/>
        <v>6.6907775768535265</v>
      </c>
    </row>
    <row r="32" spans="1:6" x14ac:dyDescent="0.2">
      <c r="A32" s="3">
        <v>2481</v>
      </c>
      <c r="B32" s="3" t="s">
        <v>615</v>
      </c>
      <c r="C32" s="4" t="s">
        <v>806</v>
      </c>
      <c r="D32" s="6">
        <v>25.95</v>
      </c>
      <c r="E32" s="6">
        <v>1.8</v>
      </c>
      <c r="F32" s="6">
        <f t="shared" si="5"/>
        <v>6.9364161849710992</v>
      </c>
    </row>
    <row r="33" spans="1:6" x14ac:dyDescent="0.2">
      <c r="A33" s="3">
        <v>2482</v>
      </c>
      <c r="B33" s="3" t="s">
        <v>615</v>
      </c>
      <c r="C33" s="4" t="s">
        <v>806</v>
      </c>
      <c r="D33" s="6">
        <v>25.18</v>
      </c>
      <c r="E33" s="6">
        <v>1.66</v>
      </c>
      <c r="F33" s="6">
        <f t="shared" si="5"/>
        <v>6.59253375694996</v>
      </c>
    </row>
    <row r="34" spans="1:6" x14ac:dyDescent="0.2">
      <c r="A34" s="3">
        <v>2483</v>
      </c>
      <c r="B34" s="3" t="s">
        <v>616</v>
      </c>
      <c r="C34" s="4" t="s">
        <v>810</v>
      </c>
      <c r="D34" s="6">
        <v>18.34</v>
      </c>
      <c r="E34" s="6">
        <v>0.63</v>
      </c>
      <c r="F34" s="6">
        <f t="shared" si="5"/>
        <v>3.4351145038167941</v>
      </c>
    </row>
    <row r="35" spans="1:6" x14ac:dyDescent="0.2">
      <c r="A35" s="3">
        <v>2484</v>
      </c>
      <c r="B35" s="3" t="s">
        <v>616</v>
      </c>
      <c r="C35" s="4" t="s">
        <v>810</v>
      </c>
      <c r="D35" s="6">
        <v>22.75</v>
      </c>
      <c r="E35" s="6">
        <v>2.52</v>
      </c>
      <c r="F35" s="6">
        <f t="shared" si="5"/>
        <v>11.076923076923077</v>
      </c>
    </row>
    <row r="36" spans="1:6" x14ac:dyDescent="0.2">
      <c r="A36" s="3">
        <v>2485</v>
      </c>
      <c r="B36" s="3" t="s">
        <v>616</v>
      </c>
      <c r="C36" s="4" t="s">
        <v>810</v>
      </c>
      <c r="D36" s="6">
        <v>24.01</v>
      </c>
      <c r="E36" s="6">
        <v>2.34</v>
      </c>
      <c r="F36" s="6">
        <f t="shared" si="5"/>
        <v>9.7459391920033305</v>
      </c>
    </row>
    <row r="37" spans="1:6" x14ac:dyDescent="0.2">
      <c r="A37" s="3">
        <v>2486</v>
      </c>
      <c r="B37" s="3" t="s">
        <v>616</v>
      </c>
      <c r="C37" s="4" t="s">
        <v>810</v>
      </c>
      <c r="D37" s="6">
        <v>22.5</v>
      </c>
      <c r="E37" s="6">
        <v>2.41</v>
      </c>
      <c r="F37" s="6">
        <f t="shared" si="5"/>
        <v>10.711111111111112</v>
      </c>
    </row>
    <row r="38" spans="1:6" x14ac:dyDescent="0.2">
      <c r="A38" s="3">
        <v>2487</v>
      </c>
      <c r="B38" s="3" t="s">
        <v>616</v>
      </c>
      <c r="C38" s="4" t="s">
        <v>810</v>
      </c>
      <c r="D38" s="6">
        <v>23.63</v>
      </c>
      <c r="E38" s="6">
        <v>2.2200000000000002</v>
      </c>
      <c r="F38" s="6">
        <f t="shared" si="5"/>
        <v>9.3948370715192553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25"/>
  <sheetViews>
    <sheetView workbookViewId="0">
      <selection activeCell="A25" sqref="A25"/>
    </sheetView>
  </sheetViews>
  <sheetFormatPr baseColWidth="10" defaultRowHeight="15" x14ac:dyDescent="0.2"/>
  <sheetData>
    <row r="1" spans="1:29" x14ac:dyDescent="0.2">
      <c r="A1" t="s">
        <v>858</v>
      </c>
      <c r="B1" t="s">
        <v>859</v>
      </c>
      <c r="C1" t="s">
        <v>860</v>
      </c>
      <c r="D1" t="s">
        <v>861</v>
      </c>
      <c r="E1" t="s">
        <v>862</v>
      </c>
      <c r="F1" t="s">
        <v>863</v>
      </c>
      <c r="G1" t="s">
        <v>864</v>
      </c>
      <c r="H1" t="s">
        <v>865</v>
      </c>
      <c r="I1" t="s">
        <v>866</v>
      </c>
      <c r="J1" t="s">
        <v>867</v>
      </c>
      <c r="K1" t="s">
        <v>868</v>
      </c>
      <c r="L1" t="s">
        <v>869</v>
      </c>
      <c r="M1" t="s">
        <v>870</v>
      </c>
      <c r="N1" t="s">
        <v>871</v>
      </c>
      <c r="O1" t="s">
        <v>872</v>
      </c>
      <c r="P1" t="s">
        <v>873</v>
      </c>
      <c r="Q1" t="s">
        <v>874</v>
      </c>
      <c r="R1" t="s">
        <v>875</v>
      </c>
      <c r="S1" t="s">
        <v>876</v>
      </c>
      <c r="T1" t="s">
        <v>877</v>
      </c>
      <c r="U1" t="s">
        <v>878</v>
      </c>
      <c r="V1" t="s">
        <v>879</v>
      </c>
      <c r="W1" t="s">
        <v>880</v>
      </c>
      <c r="X1" t="s">
        <v>881</v>
      </c>
      <c r="Y1" t="s">
        <v>882</v>
      </c>
      <c r="Z1" t="s">
        <v>883</v>
      </c>
      <c r="AA1" t="s">
        <v>884</v>
      </c>
      <c r="AB1" t="s">
        <v>885</v>
      </c>
      <c r="AC1" t="s">
        <v>886</v>
      </c>
    </row>
    <row r="2" spans="1:29" x14ac:dyDescent="0.2">
      <c r="A2">
        <v>2477</v>
      </c>
      <c r="B2" t="s">
        <v>806</v>
      </c>
      <c r="C2" t="s">
        <v>614</v>
      </c>
      <c r="D2">
        <v>1.446825195</v>
      </c>
      <c r="E2">
        <v>6.2243017759999999</v>
      </c>
      <c r="F2">
        <v>161.1324467</v>
      </c>
      <c r="G2">
        <v>0.62578641700000004</v>
      </c>
      <c r="H2">
        <v>0.01</v>
      </c>
      <c r="I2">
        <v>14.40064108</v>
      </c>
      <c r="J2">
        <v>0.10705809099999999</v>
      </c>
      <c r="K2">
        <v>0.01</v>
      </c>
      <c r="L2">
        <v>0.27716048500000001</v>
      </c>
      <c r="M2">
        <v>0.35806959799999999</v>
      </c>
      <c r="N2">
        <v>11.89643684</v>
      </c>
      <c r="O2">
        <v>0.251294668</v>
      </c>
      <c r="P2">
        <v>0.996688405</v>
      </c>
      <c r="Q2">
        <v>1.494946194</v>
      </c>
      <c r="R2">
        <v>0.98675528300000004</v>
      </c>
      <c r="S2">
        <v>0.01</v>
      </c>
      <c r="T2">
        <v>7.9103987699999996</v>
      </c>
      <c r="U2">
        <v>156.62225989999999</v>
      </c>
      <c r="V2">
        <v>0.249418585</v>
      </c>
      <c r="W2">
        <v>0.01</v>
      </c>
      <c r="X2">
        <v>14.470639889999999</v>
      </c>
      <c r="Y2">
        <v>1.159686411</v>
      </c>
      <c r="Z2">
        <v>10.159431250000001</v>
      </c>
      <c r="AA2">
        <v>14.93533564</v>
      </c>
      <c r="AB2">
        <v>2.1138283109999998</v>
      </c>
      <c r="AC2">
        <v>7.0768220000000007E-2</v>
      </c>
    </row>
    <row r="3" spans="1:29" x14ac:dyDescent="0.2">
      <c r="A3">
        <v>2478</v>
      </c>
      <c r="B3" t="s">
        <v>806</v>
      </c>
      <c r="C3" t="s">
        <v>614</v>
      </c>
      <c r="D3">
        <v>2.539882178</v>
      </c>
      <c r="E3">
        <v>17.63096925</v>
      </c>
      <c r="F3">
        <v>475.33472749999999</v>
      </c>
      <c r="G3">
        <v>0.85959042600000002</v>
      </c>
      <c r="H3">
        <v>6.0745631000000001E-2</v>
      </c>
      <c r="I3">
        <v>36.390725289999999</v>
      </c>
      <c r="J3">
        <v>0.180040382</v>
      </c>
      <c r="K3">
        <v>3.5787372999999997E-2</v>
      </c>
      <c r="L3">
        <v>0.51958288500000005</v>
      </c>
      <c r="M3">
        <v>0.01</v>
      </c>
      <c r="N3">
        <v>19.746155009999999</v>
      </c>
      <c r="O3">
        <v>0.35778394299999999</v>
      </c>
      <c r="P3">
        <v>1.2961679880000001</v>
      </c>
      <c r="Q3">
        <v>4.041577567</v>
      </c>
      <c r="R3">
        <v>0.92386824599999995</v>
      </c>
      <c r="S3">
        <v>0.28574521400000003</v>
      </c>
      <c r="T3">
        <v>15.67509025</v>
      </c>
      <c r="U3">
        <v>245.25216090000001</v>
      </c>
      <c r="V3">
        <v>0.17699740899999999</v>
      </c>
      <c r="W3">
        <v>17.332788239999999</v>
      </c>
      <c r="X3">
        <v>21.130519960000001</v>
      </c>
      <c r="Y3">
        <v>1.2322767059999999</v>
      </c>
      <c r="Z3">
        <v>21.775203909999998</v>
      </c>
      <c r="AA3">
        <v>15.80686427</v>
      </c>
      <c r="AB3">
        <v>4.1398648409999996</v>
      </c>
      <c r="AC3">
        <v>0.148506796</v>
      </c>
    </row>
    <row r="4" spans="1:29" x14ac:dyDescent="0.2">
      <c r="A4">
        <v>2481</v>
      </c>
      <c r="B4" t="s">
        <v>806</v>
      </c>
      <c r="C4" t="s">
        <v>615</v>
      </c>
      <c r="D4">
        <v>2.3891772179999999</v>
      </c>
      <c r="E4">
        <v>24.23625994</v>
      </c>
      <c r="F4">
        <v>675.670479</v>
      </c>
      <c r="G4">
        <v>1.115518547</v>
      </c>
      <c r="H4">
        <v>0.01</v>
      </c>
      <c r="I4">
        <v>39.279185849999998</v>
      </c>
      <c r="J4">
        <v>0.106538913</v>
      </c>
      <c r="K4">
        <v>0.01</v>
      </c>
      <c r="L4">
        <v>0.75509348099999996</v>
      </c>
      <c r="M4">
        <v>0.241510263</v>
      </c>
      <c r="N4">
        <v>39.286520160000002</v>
      </c>
      <c r="O4">
        <v>0.44431443599999998</v>
      </c>
      <c r="P4">
        <v>1.9054915450000001</v>
      </c>
      <c r="Q4">
        <v>5.2532143519999996</v>
      </c>
      <c r="R4">
        <v>1.140277145</v>
      </c>
      <c r="S4">
        <v>0.217294867</v>
      </c>
      <c r="T4">
        <v>14.29802868</v>
      </c>
      <c r="U4">
        <v>141.2996268</v>
      </c>
      <c r="V4">
        <v>0.20257618799999999</v>
      </c>
      <c r="W4">
        <v>0.01</v>
      </c>
      <c r="X4">
        <v>28.907726109999999</v>
      </c>
      <c r="Y4">
        <v>1.7033455040000001</v>
      </c>
      <c r="Z4">
        <v>18.303505059999999</v>
      </c>
      <c r="AA4">
        <v>17.870552440000001</v>
      </c>
      <c r="AB4">
        <v>1.676281479</v>
      </c>
      <c r="AC4">
        <v>0.36185159</v>
      </c>
    </row>
    <row r="5" spans="1:29" x14ac:dyDescent="0.2">
      <c r="A5">
        <v>2482</v>
      </c>
      <c r="B5" t="s">
        <v>806</v>
      </c>
      <c r="C5" t="s">
        <v>615</v>
      </c>
      <c r="D5">
        <v>1.766945813</v>
      </c>
      <c r="E5">
        <v>13.72871645</v>
      </c>
      <c r="F5">
        <v>455.80160100000001</v>
      </c>
      <c r="G5">
        <v>0.76956793400000001</v>
      </c>
      <c r="H5">
        <v>0.16126367699999999</v>
      </c>
      <c r="I5">
        <v>25.65957993</v>
      </c>
      <c r="J5">
        <v>0.152061272</v>
      </c>
      <c r="K5">
        <v>0.01</v>
      </c>
      <c r="L5">
        <v>0.69106853599999996</v>
      </c>
      <c r="M5">
        <v>1.2830434500000001</v>
      </c>
      <c r="N5">
        <v>38.186296859999999</v>
      </c>
      <c r="O5">
        <v>0.68012623900000002</v>
      </c>
      <c r="P5">
        <v>2.8020729809999998</v>
      </c>
      <c r="Q5">
        <v>4.0553545409999998</v>
      </c>
      <c r="R5">
        <v>1.368234339</v>
      </c>
      <c r="S5">
        <v>0.23421256300000001</v>
      </c>
      <c r="T5">
        <v>16.281542819999999</v>
      </c>
      <c r="U5">
        <v>226.1395115</v>
      </c>
      <c r="V5">
        <v>0.26229485299999999</v>
      </c>
      <c r="W5">
        <v>11.255704639999999</v>
      </c>
      <c r="X5">
        <v>28.92022446</v>
      </c>
      <c r="Y5">
        <v>2.7490818130000001</v>
      </c>
      <c r="Z5">
        <v>11.88017123</v>
      </c>
      <c r="AA5">
        <v>23.70120459</v>
      </c>
      <c r="AB5">
        <v>3.4796522379999999</v>
      </c>
      <c r="AC5">
        <v>0.16736648500000001</v>
      </c>
    </row>
    <row r="6" spans="1:29" x14ac:dyDescent="0.2">
      <c r="A6">
        <v>2484</v>
      </c>
      <c r="B6" t="s">
        <v>810</v>
      </c>
      <c r="C6" t="s">
        <v>616</v>
      </c>
      <c r="D6">
        <v>0.01</v>
      </c>
      <c r="E6">
        <v>5.9182046699999997</v>
      </c>
      <c r="F6">
        <v>161.07031380000001</v>
      </c>
      <c r="G6">
        <v>2.2420632280000001</v>
      </c>
      <c r="H6">
        <v>0.01</v>
      </c>
      <c r="I6">
        <v>31.287401410000001</v>
      </c>
      <c r="J6">
        <v>3.1800653999999998E-2</v>
      </c>
      <c r="K6">
        <v>0.01</v>
      </c>
      <c r="L6">
        <v>0.463710277</v>
      </c>
      <c r="M6">
        <v>1.356555897</v>
      </c>
      <c r="N6">
        <v>22.62781764</v>
      </c>
      <c r="O6">
        <v>0.74885000800000001</v>
      </c>
      <c r="P6">
        <v>1.323582421</v>
      </c>
      <c r="Q6">
        <v>3.0319353590000002</v>
      </c>
      <c r="R6">
        <v>0.822147721</v>
      </c>
      <c r="S6">
        <v>0.01</v>
      </c>
      <c r="T6">
        <v>0.29097638599999998</v>
      </c>
      <c r="U6">
        <v>55.312939</v>
      </c>
      <c r="V6">
        <v>0.260387543</v>
      </c>
      <c r="W6">
        <v>36.543674350000003</v>
      </c>
      <c r="X6">
        <v>15.92234944</v>
      </c>
      <c r="Y6">
        <v>1.6023829510000001</v>
      </c>
      <c r="Z6">
        <v>1.0369150540000001</v>
      </c>
      <c r="AA6">
        <v>2.470524621</v>
      </c>
      <c r="AB6">
        <v>2.9891002339999999</v>
      </c>
      <c r="AC6">
        <v>8.5060452999999994E-2</v>
      </c>
    </row>
    <row r="7" spans="1:29" x14ac:dyDescent="0.2">
      <c r="A7">
        <v>2486</v>
      </c>
      <c r="B7" t="s">
        <v>810</v>
      </c>
      <c r="C7" t="s">
        <v>616</v>
      </c>
      <c r="D7">
        <v>0.01</v>
      </c>
      <c r="E7">
        <v>15.358836569999999</v>
      </c>
      <c r="F7">
        <v>255.9829421</v>
      </c>
      <c r="G7">
        <v>5.0903523399999999</v>
      </c>
      <c r="H7">
        <v>0.01</v>
      </c>
      <c r="I7">
        <v>82.116833110000002</v>
      </c>
      <c r="J7">
        <v>0.113672472</v>
      </c>
      <c r="K7">
        <v>0.01</v>
      </c>
      <c r="L7">
        <v>0.78259411599999995</v>
      </c>
      <c r="M7">
        <v>0.93973804800000005</v>
      </c>
      <c r="N7">
        <v>24.743718569999999</v>
      </c>
      <c r="O7">
        <v>1.040813064</v>
      </c>
      <c r="P7">
        <v>1.7058377389999999</v>
      </c>
      <c r="Q7">
        <v>5.5562263999999999</v>
      </c>
      <c r="R7">
        <v>2.3675159319999999</v>
      </c>
      <c r="S7">
        <v>0.01</v>
      </c>
      <c r="T7">
        <v>0.875868223</v>
      </c>
      <c r="U7">
        <v>90.562376760000006</v>
      </c>
      <c r="V7">
        <v>0.48232002000000002</v>
      </c>
      <c r="W7">
        <v>52.425869409999997</v>
      </c>
      <c r="X7">
        <v>30.011034760000001</v>
      </c>
      <c r="Y7">
        <v>1.998819151</v>
      </c>
      <c r="Z7">
        <v>3.0059007019999999</v>
      </c>
      <c r="AA7">
        <v>5.3430792880000002</v>
      </c>
      <c r="AB7">
        <v>3.5512332139999998</v>
      </c>
      <c r="AC7">
        <v>0.29936141100000002</v>
      </c>
    </row>
    <row r="8" spans="1:29" x14ac:dyDescent="0.2">
      <c r="A8">
        <v>2487</v>
      </c>
      <c r="B8" t="s">
        <v>810</v>
      </c>
      <c r="C8" t="s">
        <v>616</v>
      </c>
      <c r="D8">
        <v>0.01</v>
      </c>
      <c r="E8">
        <v>12.06907631</v>
      </c>
      <c r="F8">
        <v>246.59757210000001</v>
      </c>
      <c r="G8">
        <v>3.1425297410000002</v>
      </c>
      <c r="H8">
        <v>0.218286541</v>
      </c>
      <c r="I8">
        <v>53.475167630000001</v>
      </c>
      <c r="J8">
        <v>0.107566098</v>
      </c>
      <c r="K8">
        <v>3.6389804999999997E-2</v>
      </c>
      <c r="L8">
        <v>0.01</v>
      </c>
      <c r="M8">
        <v>0.01</v>
      </c>
      <c r="N8">
        <v>23.115132410000001</v>
      </c>
      <c r="O8">
        <v>1.1737494449999999</v>
      </c>
      <c r="P8">
        <v>1.0457392249999999</v>
      </c>
      <c r="Q8">
        <v>3.6264553980000001</v>
      </c>
      <c r="R8">
        <v>1.5191830529999999</v>
      </c>
      <c r="S8">
        <v>0.01</v>
      </c>
      <c r="T8">
        <v>0.38063551899999998</v>
      </c>
      <c r="U8">
        <v>88.460788590000007</v>
      </c>
      <c r="V8">
        <v>0.51949423500000003</v>
      </c>
      <c r="W8">
        <v>29.536341459999999</v>
      </c>
      <c r="X8">
        <v>22.581938480000002</v>
      </c>
      <c r="Y8">
        <v>1.145508142</v>
      </c>
      <c r="Z8">
        <v>1.860091318</v>
      </c>
      <c r="AA8">
        <v>5.1741163050000001</v>
      </c>
      <c r="AB8">
        <v>3.1639898830000002</v>
      </c>
      <c r="AC8">
        <v>4.3648789E-2</v>
      </c>
    </row>
    <row r="9" spans="1:29" x14ac:dyDescent="0.2">
      <c r="A9">
        <v>2541</v>
      </c>
      <c r="B9" t="s">
        <v>806</v>
      </c>
      <c r="C9" t="s">
        <v>614</v>
      </c>
      <c r="D9">
        <v>1.5567973900000001</v>
      </c>
      <c r="E9">
        <v>9.2386539790000004</v>
      </c>
      <c r="F9">
        <v>314.20958130000002</v>
      </c>
      <c r="G9">
        <v>0.70156640999999997</v>
      </c>
      <c r="H9">
        <v>0.38534037799999998</v>
      </c>
      <c r="I9">
        <v>16.841880639999999</v>
      </c>
      <c r="J9">
        <v>0.24264403200000001</v>
      </c>
      <c r="K9">
        <v>0.01</v>
      </c>
      <c r="L9">
        <v>0.01</v>
      </c>
      <c r="M9">
        <v>0.62895720700000002</v>
      </c>
      <c r="N9">
        <v>20.671013760000001</v>
      </c>
      <c r="O9">
        <v>0.25104440300000003</v>
      </c>
      <c r="P9">
        <v>0.987653962</v>
      </c>
      <c r="Q9">
        <v>2.443483847</v>
      </c>
      <c r="R9">
        <v>0.97378928899999995</v>
      </c>
      <c r="S9">
        <v>0.01</v>
      </c>
      <c r="T9">
        <v>12.930332119999999</v>
      </c>
      <c r="U9">
        <v>206.03813450000001</v>
      </c>
      <c r="V9">
        <v>0.26078589099999999</v>
      </c>
      <c r="W9">
        <v>0.01</v>
      </c>
      <c r="X9">
        <v>18.524602389999998</v>
      </c>
      <c r="Y9">
        <v>1.1454194369999999</v>
      </c>
      <c r="Z9">
        <v>9.3963481210000008</v>
      </c>
      <c r="AA9">
        <v>16.815636850000001</v>
      </c>
      <c r="AB9">
        <v>2.0283760169999998</v>
      </c>
      <c r="AC9">
        <v>0.247095597</v>
      </c>
    </row>
    <row r="10" spans="1:29" x14ac:dyDescent="0.2">
      <c r="A10">
        <v>2544</v>
      </c>
      <c r="B10" t="s">
        <v>806</v>
      </c>
      <c r="C10" t="s">
        <v>614</v>
      </c>
      <c r="D10">
        <v>0.01</v>
      </c>
      <c r="E10">
        <v>15.052250219999999</v>
      </c>
      <c r="F10">
        <v>504.61501459999999</v>
      </c>
      <c r="G10">
        <v>0.688161036</v>
      </c>
      <c r="H10">
        <v>0.22360661200000001</v>
      </c>
      <c r="I10">
        <v>29.01626298</v>
      </c>
      <c r="J10">
        <v>0.16921599100000001</v>
      </c>
      <c r="K10">
        <v>3.0552271999999998E-2</v>
      </c>
      <c r="L10">
        <v>0.01</v>
      </c>
      <c r="M10">
        <v>0.92231026800000004</v>
      </c>
      <c r="N10">
        <v>17.579797899999999</v>
      </c>
      <c r="O10">
        <v>0.158825085</v>
      </c>
      <c r="P10">
        <v>0.94313433499999999</v>
      </c>
      <c r="Q10">
        <v>3.6271506530000002</v>
      </c>
      <c r="R10">
        <v>0.97314574499999995</v>
      </c>
      <c r="S10">
        <v>0.01</v>
      </c>
      <c r="T10">
        <v>17.532447900000001</v>
      </c>
      <c r="U10">
        <v>203.2580414</v>
      </c>
      <c r="V10">
        <v>0.20299652800000001</v>
      </c>
      <c r="W10">
        <v>5.0605460960000004</v>
      </c>
      <c r="X10">
        <v>22.70688221</v>
      </c>
      <c r="Y10">
        <v>0.80527696800000004</v>
      </c>
      <c r="Z10">
        <v>14.24483964</v>
      </c>
      <c r="AA10">
        <v>23.233594849999999</v>
      </c>
      <c r="AB10">
        <v>2.1624589529999998</v>
      </c>
      <c r="AC10">
        <v>0.242574912</v>
      </c>
    </row>
    <row r="11" spans="1:29" x14ac:dyDescent="0.2">
      <c r="A11">
        <v>2545</v>
      </c>
      <c r="B11" t="s">
        <v>806</v>
      </c>
      <c r="C11" t="s">
        <v>614</v>
      </c>
      <c r="D11">
        <v>1.141555643</v>
      </c>
      <c r="E11">
        <v>10.098349049999999</v>
      </c>
      <c r="F11">
        <v>313.03569659999999</v>
      </c>
      <c r="G11">
        <v>0.52110959099999998</v>
      </c>
      <c r="H11">
        <v>0.23266776</v>
      </c>
      <c r="I11">
        <v>22.637603080000002</v>
      </c>
      <c r="J11">
        <v>0.15276822700000001</v>
      </c>
      <c r="K11">
        <v>0.01</v>
      </c>
      <c r="L11">
        <v>0.01</v>
      </c>
      <c r="M11">
        <v>0.38914132299999998</v>
      </c>
      <c r="N11">
        <v>19.405099069999999</v>
      </c>
      <c r="O11">
        <v>0.35246806400000003</v>
      </c>
      <c r="P11">
        <v>1.559213387</v>
      </c>
      <c r="Q11">
        <v>1.9504387110000001</v>
      </c>
      <c r="R11">
        <v>1.028833619</v>
      </c>
      <c r="S11">
        <v>8.8654700000000003E-2</v>
      </c>
      <c r="T11">
        <v>11.384766750000001</v>
      </c>
      <c r="U11">
        <v>159.9069197</v>
      </c>
      <c r="V11">
        <v>0.25212985599999999</v>
      </c>
      <c r="W11">
        <v>0.01</v>
      </c>
      <c r="X11">
        <v>19.6235845</v>
      </c>
      <c r="Y11">
        <v>1.623703648</v>
      </c>
      <c r="Z11">
        <v>11.495539450000001</v>
      </c>
      <c r="AA11">
        <v>20.742600549999999</v>
      </c>
      <c r="AB11">
        <v>1.5826565530000001</v>
      </c>
      <c r="AC11">
        <v>0.21902971800000001</v>
      </c>
    </row>
    <row r="12" spans="1:29" x14ac:dyDescent="0.2">
      <c r="A12">
        <v>2546</v>
      </c>
      <c r="B12" t="s">
        <v>806</v>
      </c>
      <c r="C12" t="s">
        <v>615</v>
      </c>
      <c r="D12">
        <v>0.01</v>
      </c>
      <c r="E12">
        <v>0.01</v>
      </c>
      <c r="F12">
        <v>191.10871589999999</v>
      </c>
      <c r="G12">
        <v>0.69541412300000005</v>
      </c>
      <c r="H12">
        <v>0.01</v>
      </c>
      <c r="I12">
        <v>20.23127758</v>
      </c>
      <c r="J12">
        <v>0.234333122</v>
      </c>
      <c r="K12">
        <v>0.01</v>
      </c>
      <c r="L12">
        <v>3.1302740720000002</v>
      </c>
      <c r="M12">
        <v>0.01</v>
      </c>
      <c r="N12">
        <v>19.54430335</v>
      </c>
      <c r="O12">
        <v>0.291064182</v>
      </c>
      <c r="P12">
        <v>0.48530316899999998</v>
      </c>
      <c r="Q12">
        <v>0.01</v>
      </c>
      <c r="R12">
        <v>1.0435739639999999</v>
      </c>
      <c r="S12">
        <v>0.01</v>
      </c>
      <c r="T12">
        <v>11.04794285</v>
      </c>
      <c r="U12">
        <v>253.93530680000001</v>
      </c>
      <c r="V12">
        <v>0.01</v>
      </c>
      <c r="W12">
        <v>0.01</v>
      </c>
      <c r="X12">
        <v>22.28921884</v>
      </c>
      <c r="Y12">
        <v>1.159393101</v>
      </c>
      <c r="Z12">
        <v>16.567117570000001</v>
      </c>
      <c r="AA12">
        <v>19.168245129999999</v>
      </c>
      <c r="AB12">
        <v>2.8722701759999998</v>
      </c>
      <c r="AC12">
        <v>0.110716421</v>
      </c>
    </row>
    <row r="13" spans="1:29" x14ac:dyDescent="0.2">
      <c r="A13">
        <v>2549</v>
      </c>
      <c r="B13" t="s">
        <v>806</v>
      </c>
      <c r="C13" t="s">
        <v>615</v>
      </c>
      <c r="D13">
        <v>0.01</v>
      </c>
      <c r="E13">
        <v>5.5729198440000003</v>
      </c>
      <c r="F13">
        <v>165.62383689999999</v>
      </c>
      <c r="G13">
        <v>0.60364664599999995</v>
      </c>
      <c r="H13">
        <v>8.8985861999999999E-2</v>
      </c>
      <c r="I13">
        <v>16.610500999999999</v>
      </c>
      <c r="J13">
        <v>0.18346923200000001</v>
      </c>
      <c r="K13">
        <v>0.01</v>
      </c>
      <c r="L13">
        <v>0.60136597199999997</v>
      </c>
      <c r="M13">
        <v>1.176759933</v>
      </c>
      <c r="N13">
        <v>16.147050660000001</v>
      </c>
      <c r="O13">
        <v>0.333525503</v>
      </c>
      <c r="P13">
        <v>1.0323250310000001</v>
      </c>
      <c r="Q13">
        <v>1.632795851</v>
      </c>
      <c r="R13">
        <v>1.316917892</v>
      </c>
      <c r="S13">
        <v>0.01</v>
      </c>
      <c r="T13">
        <v>7.5410550970000001</v>
      </c>
      <c r="U13">
        <v>208.75940439999999</v>
      </c>
      <c r="V13">
        <v>0.32680495100000001</v>
      </c>
      <c r="W13">
        <v>14.81147326</v>
      </c>
      <c r="X13">
        <v>14.980038349999999</v>
      </c>
      <c r="Y13">
        <v>1.1919658660000001</v>
      </c>
      <c r="Z13">
        <v>15.46508291</v>
      </c>
      <c r="AA13">
        <v>21.004316559999999</v>
      </c>
      <c r="AB13">
        <v>2.9443567659999998</v>
      </c>
      <c r="AC13">
        <v>8.2067969000000004E-2</v>
      </c>
    </row>
    <row r="14" spans="1:29" x14ac:dyDescent="0.2">
      <c r="A14">
        <v>2550</v>
      </c>
      <c r="B14" t="s">
        <v>806</v>
      </c>
      <c r="C14" t="s">
        <v>615</v>
      </c>
      <c r="D14">
        <v>0.01</v>
      </c>
      <c r="E14">
        <v>6.9024723899999998</v>
      </c>
      <c r="F14">
        <v>191.70218299999999</v>
      </c>
      <c r="G14">
        <v>0.56766121999999997</v>
      </c>
      <c r="H14">
        <v>0.01</v>
      </c>
      <c r="I14">
        <v>16.217190250000002</v>
      </c>
      <c r="J14">
        <v>0.16986251599999999</v>
      </c>
      <c r="K14">
        <v>0.01</v>
      </c>
      <c r="L14">
        <v>0.01</v>
      </c>
      <c r="M14">
        <v>1.015476075</v>
      </c>
      <c r="N14">
        <v>24.425123299999999</v>
      </c>
      <c r="O14">
        <v>0.31046369200000001</v>
      </c>
      <c r="P14">
        <v>1.1378476070000001</v>
      </c>
      <c r="Q14">
        <v>3.2465620340000001</v>
      </c>
      <c r="R14">
        <v>0.94209977600000006</v>
      </c>
      <c r="S14">
        <v>0.12322954999999999</v>
      </c>
      <c r="T14">
        <v>7.8421906220000004</v>
      </c>
      <c r="U14">
        <v>255.365193</v>
      </c>
      <c r="V14">
        <v>0.203659337</v>
      </c>
      <c r="W14">
        <v>0.01</v>
      </c>
      <c r="X14">
        <v>33.240449150000003</v>
      </c>
      <c r="Y14">
        <v>1.344144247</v>
      </c>
      <c r="Z14">
        <v>8.2426946579999996</v>
      </c>
      <c r="AA14">
        <v>13.25713135</v>
      </c>
      <c r="AB14">
        <v>3.7548243380000002</v>
      </c>
      <c r="AC14">
        <v>0.101790251</v>
      </c>
    </row>
    <row r="15" spans="1:29" x14ac:dyDescent="0.2">
      <c r="A15">
        <v>2553</v>
      </c>
      <c r="B15" t="s">
        <v>806</v>
      </c>
      <c r="C15" t="s">
        <v>616</v>
      </c>
      <c r="D15">
        <v>0.01</v>
      </c>
      <c r="E15">
        <v>4.6527609700000001</v>
      </c>
      <c r="F15">
        <v>216.9342355</v>
      </c>
      <c r="G15">
        <v>0.98277861300000002</v>
      </c>
      <c r="H15">
        <v>0.01</v>
      </c>
      <c r="I15">
        <v>22.748235609999998</v>
      </c>
      <c r="J15">
        <v>0.115117206</v>
      </c>
      <c r="K15">
        <v>2.0596315E-2</v>
      </c>
      <c r="L15">
        <v>0.01</v>
      </c>
      <c r="M15">
        <v>1.052049783</v>
      </c>
      <c r="N15">
        <v>74.820011940000001</v>
      </c>
      <c r="O15">
        <v>0.52123818799999999</v>
      </c>
      <c r="P15">
        <v>1.5156578110000001</v>
      </c>
      <c r="Q15">
        <v>1.64473245</v>
      </c>
      <c r="R15">
        <v>0.81209357599999998</v>
      </c>
      <c r="S15">
        <v>0.01</v>
      </c>
      <c r="T15">
        <v>1.4190215909999999</v>
      </c>
      <c r="U15">
        <v>188.51548220000001</v>
      </c>
      <c r="V15">
        <v>0.161915737</v>
      </c>
      <c r="W15">
        <v>0.01</v>
      </c>
      <c r="X15">
        <v>22.28141759</v>
      </c>
      <c r="Y15">
        <v>1.775136549</v>
      </c>
      <c r="Z15">
        <v>10.07680564</v>
      </c>
      <c r="AA15">
        <v>13.549758260000001</v>
      </c>
      <c r="AB15">
        <v>2.6790765520000002</v>
      </c>
      <c r="AC15">
        <v>4.3510577000000002E-2</v>
      </c>
    </row>
    <row r="16" spans="1:29" x14ac:dyDescent="0.2">
      <c r="A16">
        <v>2555</v>
      </c>
      <c r="B16" t="s">
        <v>806</v>
      </c>
      <c r="C16" t="s">
        <v>616</v>
      </c>
      <c r="D16">
        <v>0.01</v>
      </c>
      <c r="E16">
        <v>0.01</v>
      </c>
      <c r="F16">
        <v>250.1896376</v>
      </c>
      <c r="G16">
        <v>1.120887959</v>
      </c>
      <c r="H16">
        <v>0.01</v>
      </c>
      <c r="I16">
        <v>20.493965509999999</v>
      </c>
      <c r="J16">
        <v>0.16222752100000001</v>
      </c>
      <c r="K16">
        <v>0.01</v>
      </c>
      <c r="L16">
        <v>1.3156945870000001</v>
      </c>
      <c r="M16">
        <v>0.01</v>
      </c>
      <c r="N16">
        <v>52.418968210000003</v>
      </c>
      <c r="O16">
        <v>0.314580794</v>
      </c>
      <c r="P16">
        <v>0.74751658799999998</v>
      </c>
      <c r="Q16">
        <v>1.4741145309999999</v>
      </c>
      <c r="R16">
        <v>0.85858090799999998</v>
      </c>
      <c r="S16">
        <v>0.01</v>
      </c>
      <c r="T16">
        <v>1.442487434</v>
      </c>
      <c r="U16">
        <v>143.0225011</v>
      </c>
      <c r="V16">
        <v>0.32400237999999998</v>
      </c>
      <c r="W16">
        <v>0.01</v>
      </c>
      <c r="X16">
        <v>14.588237850000001</v>
      </c>
      <c r="Y16">
        <v>1.556017813</v>
      </c>
      <c r="Z16">
        <v>11.558474179999999</v>
      </c>
      <c r="AA16">
        <v>17.07133533</v>
      </c>
      <c r="AB16">
        <v>2.1624917080000001</v>
      </c>
      <c r="AC16">
        <v>0.11588362300000001</v>
      </c>
    </row>
    <row r="17" spans="1:29" x14ac:dyDescent="0.2">
      <c r="A17">
        <v>2556</v>
      </c>
      <c r="B17" t="s">
        <v>810</v>
      </c>
      <c r="C17" t="s">
        <v>617</v>
      </c>
      <c r="D17">
        <v>0.01</v>
      </c>
      <c r="E17">
        <v>3.8899819390000001</v>
      </c>
      <c r="F17">
        <v>77.856896840000005</v>
      </c>
      <c r="G17">
        <v>0.72840840100000004</v>
      </c>
      <c r="H17">
        <v>0.01</v>
      </c>
      <c r="I17">
        <v>14.754192160000001</v>
      </c>
      <c r="J17">
        <v>0.01</v>
      </c>
      <c r="K17">
        <v>2.6417408999999999E-2</v>
      </c>
      <c r="L17">
        <v>0.01</v>
      </c>
      <c r="M17">
        <v>0.47929440600000001</v>
      </c>
      <c r="N17">
        <v>51.711902629999997</v>
      </c>
      <c r="O17">
        <v>0.960011744</v>
      </c>
      <c r="P17">
        <v>1.6174767729999999</v>
      </c>
      <c r="Q17">
        <v>1.0114332669999999</v>
      </c>
      <c r="R17">
        <v>0.01</v>
      </c>
      <c r="S17">
        <v>0.01</v>
      </c>
      <c r="T17">
        <v>0.38681551600000003</v>
      </c>
      <c r="U17">
        <v>9.3546434220000005</v>
      </c>
      <c r="V17">
        <v>0.01</v>
      </c>
      <c r="W17">
        <v>24.280816810000001</v>
      </c>
      <c r="X17">
        <v>28.937388800000001</v>
      </c>
      <c r="Y17">
        <v>1.7437317619999999</v>
      </c>
      <c r="Z17">
        <v>0.37164334599999999</v>
      </c>
      <c r="AA17">
        <v>0.213104457</v>
      </c>
      <c r="AB17">
        <v>0.73418234699999996</v>
      </c>
      <c r="AC17">
        <v>0.01</v>
      </c>
    </row>
    <row r="18" spans="1:29" x14ac:dyDescent="0.2">
      <c r="A18">
        <v>2558</v>
      </c>
      <c r="B18" t="s">
        <v>810</v>
      </c>
      <c r="C18" t="s">
        <v>617</v>
      </c>
      <c r="D18">
        <v>0.01</v>
      </c>
      <c r="E18">
        <v>2.4632128039999999</v>
      </c>
      <c r="F18">
        <v>29.171501660000001</v>
      </c>
      <c r="G18">
        <v>0.851291731</v>
      </c>
      <c r="H18">
        <v>0.01</v>
      </c>
      <c r="I18">
        <v>11.849428359999999</v>
      </c>
      <c r="J18">
        <v>0.10553639099999999</v>
      </c>
      <c r="K18">
        <v>4.4170811999999997E-2</v>
      </c>
      <c r="L18">
        <v>0.01</v>
      </c>
      <c r="M18">
        <v>0.01</v>
      </c>
      <c r="N18">
        <v>10.52737265</v>
      </c>
      <c r="O18">
        <v>0.50125226899999997</v>
      </c>
      <c r="P18">
        <v>0.45463103199999999</v>
      </c>
      <c r="Q18">
        <v>0.842526471</v>
      </c>
      <c r="R18">
        <v>0.01</v>
      </c>
      <c r="S18">
        <v>0.01</v>
      </c>
      <c r="T18">
        <v>0.79599964300000003</v>
      </c>
      <c r="U18">
        <v>40.459338700000004</v>
      </c>
      <c r="V18">
        <v>0.01</v>
      </c>
      <c r="W18">
        <v>450.73304639999998</v>
      </c>
      <c r="X18">
        <v>10.444558389999999</v>
      </c>
      <c r="Y18">
        <v>0.47119287100000001</v>
      </c>
      <c r="Z18">
        <v>0.89732104400000001</v>
      </c>
      <c r="AA18">
        <v>1.320327998</v>
      </c>
      <c r="AB18">
        <v>1.9523604939999999</v>
      </c>
      <c r="AC18">
        <v>0.01</v>
      </c>
    </row>
    <row r="19" spans="1:29" x14ac:dyDescent="0.2">
      <c r="A19">
        <v>2575</v>
      </c>
      <c r="B19" t="s">
        <v>810</v>
      </c>
      <c r="C19" t="s">
        <v>617</v>
      </c>
      <c r="D19">
        <v>1.638907143</v>
      </c>
      <c r="E19">
        <v>6.0591746229999996</v>
      </c>
      <c r="F19">
        <v>128.32584309999999</v>
      </c>
      <c r="G19">
        <v>0.69340986400000004</v>
      </c>
      <c r="H19">
        <v>0.01</v>
      </c>
      <c r="I19">
        <v>26.842127730000001</v>
      </c>
      <c r="J19">
        <v>0.01</v>
      </c>
      <c r="K19">
        <v>6.5171882E-2</v>
      </c>
      <c r="L19">
        <v>0.58350707599999996</v>
      </c>
      <c r="M19">
        <v>0.01</v>
      </c>
      <c r="N19">
        <v>19.264944159999999</v>
      </c>
      <c r="O19">
        <v>0.472627142</v>
      </c>
      <c r="P19">
        <v>0.97892243800000001</v>
      </c>
      <c r="Q19">
        <v>3.5278476379999999</v>
      </c>
      <c r="R19">
        <v>0.01</v>
      </c>
      <c r="S19">
        <v>0.15579791200000001</v>
      </c>
      <c r="T19">
        <v>7.6298648900000003</v>
      </c>
      <c r="U19">
        <v>27.1931954</v>
      </c>
      <c r="V19">
        <v>0.01</v>
      </c>
      <c r="W19">
        <v>96.316535650000006</v>
      </c>
      <c r="X19">
        <v>32.834767499999998</v>
      </c>
      <c r="Y19">
        <v>1.076694912</v>
      </c>
      <c r="Z19">
        <v>0.97104856900000003</v>
      </c>
      <c r="AA19">
        <v>1.5085587970000001</v>
      </c>
      <c r="AB19">
        <v>4.2741505589999997</v>
      </c>
      <c r="AC19">
        <v>0.30050969500000002</v>
      </c>
    </row>
    <row r="20" spans="1:29" x14ac:dyDescent="0.2">
      <c r="A20">
        <v>2576</v>
      </c>
      <c r="B20" t="s">
        <v>806</v>
      </c>
      <c r="C20" t="s">
        <v>617</v>
      </c>
      <c r="D20">
        <v>0.01</v>
      </c>
      <c r="E20">
        <v>1.056505239</v>
      </c>
      <c r="F20">
        <v>29.944274350000001</v>
      </c>
      <c r="G20">
        <v>0.46783857000000001</v>
      </c>
      <c r="H20">
        <v>0.01</v>
      </c>
      <c r="I20">
        <v>3.5049999079999998</v>
      </c>
      <c r="J20">
        <v>0.01</v>
      </c>
      <c r="K20">
        <v>1.6702824000000002E-2</v>
      </c>
      <c r="L20">
        <v>0.01</v>
      </c>
      <c r="M20">
        <v>0.01</v>
      </c>
      <c r="N20">
        <v>7.928061005</v>
      </c>
      <c r="O20">
        <v>3.4990874999999998E-2</v>
      </c>
      <c r="P20">
        <v>0.128694799</v>
      </c>
      <c r="Q20">
        <v>0.01</v>
      </c>
      <c r="R20">
        <v>0.01</v>
      </c>
      <c r="S20">
        <v>0.01</v>
      </c>
      <c r="T20">
        <v>0.62741398800000003</v>
      </c>
      <c r="U20">
        <v>34.909015330000003</v>
      </c>
      <c r="V20">
        <v>0.01</v>
      </c>
      <c r="W20">
        <v>221.7895077</v>
      </c>
      <c r="X20">
        <v>7.2609932109999997</v>
      </c>
      <c r="Y20">
        <v>0.104176984</v>
      </c>
      <c r="Z20">
        <v>0.94687026200000002</v>
      </c>
      <c r="AA20">
        <v>1.627487057</v>
      </c>
      <c r="AB20">
        <v>0.01</v>
      </c>
      <c r="AC20">
        <v>0.01</v>
      </c>
    </row>
    <row r="21" spans="1:29" x14ac:dyDescent="0.2">
      <c r="A21">
        <v>2578</v>
      </c>
      <c r="B21" t="s">
        <v>806</v>
      </c>
      <c r="C21" t="s">
        <v>617</v>
      </c>
      <c r="D21">
        <v>0.01</v>
      </c>
      <c r="E21">
        <v>4.2566445880000003</v>
      </c>
      <c r="F21">
        <v>109.9633819</v>
      </c>
      <c r="G21">
        <v>1.2524896050000001</v>
      </c>
      <c r="H21">
        <v>0.01</v>
      </c>
      <c r="I21">
        <v>19.41157046</v>
      </c>
      <c r="J21">
        <v>0.01</v>
      </c>
      <c r="K21">
        <v>3.037196E-2</v>
      </c>
      <c r="L21">
        <v>0.01</v>
      </c>
      <c r="M21">
        <v>0.01</v>
      </c>
      <c r="N21">
        <v>34.173413009999997</v>
      </c>
      <c r="O21">
        <v>0.45887439699999999</v>
      </c>
      <c r="P21">
        <v>0.84172485200000002</v>
      </c>
      <c r="Q21">
        <v>2.9727824329999999</v>
      </c>
      <c r="R21">
        <v>0.01</v>
      </c>
      <c r="S21">
        <v>0.01</v>
      </c>
      <c r="T21">
        <v>1.454537218</v>
      </c>
      <c r="U21">
        <v>34.58242482</v>
      </c>
      <c r="V21">
        <v>0.01</v>
      </c>
      <c r="W21">
        <v>70.074900029999995</v>
      </c>
      <c r="X21">
        <v>41.248995069999999</v>
      </c>
      <c r="Y21">
        <v>0.87285416199999999</v>
      </c>
      <c r="Z21">
        <v>2.9779775389999998</v>
      </c>
      <c r="AA21">
        <v>0.01</v>
      </c>
      <c r="AB21">
        <v>3.0517616630000002</v>
      </c>
      <c r="AC21">
        <v>3.0227276000000001E-2</v>
      </c>
    </row>
    <row r="22" spans="1:29" x14ac:dyDescent="0.2">
      <c r="A22" t="s">
        <v>887</v>
      </c>
      <c r="B22" t="s">
        <v>887</v>
      </c>
      <c r="C22" t="s">
        <v>887</v>
      </c>
      <c r="D22">
        <v>0.01</v>
      </c>
      <c r="E22">
        <v>0.01</v>
      </c>
      <c r="F22">
        <v>0.01</v>
      </c>
      <c r="G22">
        <v>0.01</v>
      </c>
      <c r="H22">
        <v>0.01</v>
      </c>
      <c r="I22">
        <v>0.01</v>
      </c>
      <c r="J22">
        <v>0.01</v>
      </c>
      <c r="K22">
        <v>4.4295395000000001E-2</v>
      </c>
      <c r="L22">
        <v>0.01</v>
      </c>
      <c r="M22">
        <v>0.01</v>
      </c>
      <c r="N22">
        <v>0.01</v>
      </c>
      <c r="O22">
        <v>0.01</v>
      </c>
      <c r="P22">
        <v>0.01</v>
      </c>
      <c r="Q22">
        <v>0.01</v>
      </c>
      <c r="R22">
        <v>0.01</v>
      </c>
      <c r="S22">
        <v>0.01</v>
      </c>
      <c r="T22">
        <v>0.01</v>
      </c>
      <c r="U22">
        <v>0.01</v>
      </c>
      <c r="V22">
        <v>0.01</v>
      </c>
      <c r="W22">
        <v>0.01</v>
      </c>
      <c r="X22">
        <v>0.01</v>
      </c>
      <c r="Y22">
        <v>0.01</v>
      </c>
      <c r="Z22">
        <v>0.01</v>
      </c>
      <c r="AA22">
        <v>0.01</v>
      </c>
      <c r="AB22">
        <v>0.01</v>
      </c>
      <c r="AC22">
        <v>0.01</v>
      </c>
    </row>
    <row r="23" spans="1:29" x14ac:dyDescent="0.2">
      <c r="A23" t="s">
        <v>887</v>
      </c>
      <c r="B23" t="s">
        <v>887</v>
      </c>
      <c r="C23" t="s">
        <v>887</v>
      </c>
      <c r="D23">
        <v>0.01</v>
      </c>
      <c r="E23">
        <v>0.01</v>
      </c>
      <c r="F23">
        <v>0.01</v>
      </c>
      <c r="G23">
        <v>0.01</v>
      </c>
      <c r="H23">
        <v>0.01</v>
      </c>
      <c r="I23">
        <v>0.01</v>
      </c>
      <c r="J23">
        <v>0.01</v>
      </c>
      <c r="K23">
        <v>4.5461724000000002E-2</v>
      </c>
      <c r="L23">
        <v>0.01</v>
      </c>
      <c r="M23">
        <v>0.01</v>
      </c>
      <c r="N23">
        <v>0.01</v>
      </c>
      <c r="O23">
        <v>0.01</v>
      </c>
      <c r="P23">
        <v>0.01</v>
      </c>
      <c r="Q23">
        <v>0.01</v>
      </c>
      <c r="R23">
        <v>0.01</v>
      </c>
      <c r="S23">
        <v>0.01</v>
      </c>
      <c r="T23">
        <v>0.01</v>
      </c>
      <c r="U23">
        <v>1.8625009000000001E-2</v>
      </c>
      <c r="V23">
        <v>0.01</v>
      </c>
      <c r="W23">
        <v>0.01</v>
      </c>
      <c r="X23">
        <v>0.01</v>
      </c>
      <c r="Y23">
        <v>0.01</v>
      </c>
      <c r="Z23">
        <v>0.01</v>
      </c>
      <c r="AA23">
        <v>0.01</v>
      </c>
      <c r="AB23">
        <v>0.01</v>
      </c>
      <c r="AC23">
        <v>0.01</v>
      </c>
    </row>
    <row r="24" spans="1:29" x14ac:dyDescent="0.2">
      <c r="A24" t="s">
        <v>887</v>
      </c>
      <c r="B24" t="s">
        <v>887</v>
      </c>
      <c r="C24" t="s">
        <v>887</v>
      </c>
      <c r="D24">
        <v>0.01</v>
      </c>
      <c r="E24">
        <v>0.01</v>
      </c>
      <c r="F24">
        <v>0.01</v>
      </c>
      <c r="G24">
        <v>0.01</v>
      </c>
      <c r="H24">
        <v>0.01</v>
      </c>
      <c r="I24">
        <v>0.01</v>
      </c>
      <c r="J24">
        <v>0.01</v>
      </c>
      <c r="K24">
        <v>0.01</v>
      </c>
      <c r="L24">
        <v>0.01</v>
      </c>
      <c r="M24">
        <v>0.01</v>
      </c>
      <c r="N24">
        <v>0.01</v>
      </c>
      <c r="O24">
        <v>0.01</v>
      </c>
      <c r="P24">
        <v>0.01</v>
      </c>
      <c r="Q24">
        <v>0.01</v>
      </c>
      <c r="R24">
        <v>0.01</v>
      </c>
      <c r="S24">
        <v>0.01</v>
      </c>
      <c r="T24">
        <v>0.01</v>
      </c>
      <c r="U24">
        <v>0.01</v>
      </c>
      <c r="V24">
        <v>0.01</v>
      </c>
      <c r="W24">
        <v>0.01</v>
      </c>
      <c r="X24">
        <v>0.01</v>
      </c>
      <c r="Y24">
        <v>0.01</v>
      </c>
      <c r="Z24">
        <v>0.01</v>
      </c>
      <c r="AA24">
        <v>0.01</v>
      </c>
      <c r="AB24">
        <v>0.01</v>
      </c>
      <c r="AC24">
        <v>0.01</v>
      </c>
    </row>
    <row r="25" spans="1:29" x14ac:dyDescent="0.2">
      <c r="B25" t="s">
        <v>887</v>
      </c>
      <c r="C25" t="s">
        <v>887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5C01-EDA3-AF42-B050-D22580E72B29}">
  <dimension ref="A1:K11"/>
  <sheetViews>
    <sheetView workbookViewId="0">
      <selection activeCell="F17" sqref="F17"/>
    </sheetView>
  </sheetViews>
  <sheetFormatPr baseColWidth="10" defaultRowHeight="15" x14ac:dyDescent="0.2"/>
  <cols>
    <col min="1" max="1" width="14.5" customWidth="1"/>
  </cols>
  <sheetData>
    <row r="1" spans="1:11" x14ac:dyDescent="0.2">
      <c r="A1" t="s">
        <v>991</v>
      </c>
      <c r="B1" t="s">
        <v>812</v>
      </c>
      <c r="C1" t="s">
        <v>623</v>
      </c>
      <c r="D1" t="s">
        <v>983</v>
      </c>
      <c r="E1" t="s">
        <v>984</v>
      </c>
      <c r="F1" t="s">
        <v>985</v>
      </c>
      <c r="G1" t="s">
        <v>986</v>
      </c>
      <c r="H1" t="s">
        <v>987</v>
      </c>
      <c r="I1" t="s">
        <v>988</v>
      </c>
      <c r="J1" t="s">
        <v>989</v>
      </c>
      <c r="K1" t="s">
        <v>990</v>
      </c>
    </row>
    <row r="2" spans="1:11" x14ac:dyDescent="0.2">
      <c r="A2">
        <v>2675</v>
      </c>
      <c r="B2" t="s">
        <v>806</v>
      </c>
      <c r="C2" t="s">
        <v>614</v>
      </c>
      <c r="D2" s="20">
        <v>4.2983808802344026</v>
      </c>
      <c r="E2" s="20">
        <v>1.8795791296250961</v>
      </c>
      <c r="F2" s="20">
        <v>7.089251193809643</v>
      </c>
      <c r="G2" s="20">
        <v>4.1285923736925865</v>
      </c>
      <c r="H2" s="20">
        <v>26.319878058909737</v>
      </c>
      <c r="I2" s="20">
        <v>3.3403945297009905</v>
      </c>
      <c r="J2" s="20">
        <v>1.6872706049648016</v>
      </c>
      <c r="K2" s="20">
        <v>1.7938112708726757</v>
      </c>
    </row>
    <row r="3" spans="1:11" x14ac:dyDescent="0.2">
      <c r="A3">
        <v>2676</v>
      </c>
      <c r="B3" t="s">
        <v>806</v>
      </c>
      <c r="C3" t="s">
        <v>614</v>
      </c>
      <c r="D3" s="20">
        <v>0.73957958171396432</v>
      </c>
      <c r="E3" s="20">
        <v>1.3770834784648471</v>
      </c>
      <c r="F3" s="20">
        <v>10.101685640259817</v>
      </c>
      <c r="G3" s="20">
        <v>1.2371248821402094</v>
      </c>
      <c r="H3" s="20">
        <v>6.5244765288688162</v>
      </c>
      <c r="I3" s="20">
        <v>1.0254134228464649</v>
      </c>
      <c r="J3" s="20">
        <v>1.5533677078157484</v>
      </c>
      <c r="K3" s="20">
        <v>1.7288093873718378</v>
      </c>
    </row>
    <row r="4" spans="1:11" x14ac:dyDescent="0.2">
      <c r="A4">
        <v>2677</v>
      </c>
      <c r="B4" t="s">
        <v>806</v>
      </c>
      <c r="C4" t="s">
        <v>614</v>
      </c>
      <c r="D4" s="20">
        <v>0.46098618046955864</v>
      </c>
      <c r="E4" s="20">
        <v>3.2799789610313534</v>
      </c>
      <c r="F4" s="20">
        <v>11.962538229775777</v>
      </c>
      <c r="G4" s="20">
        <v>1.6085843708308185</v>
      </c>
      <c r="H4" s="20">
        <v>19.577035210554072</v>
      </c>
      <c r="I4" s="20">
        <v>2.6943030387108982</v>
      </c>
      <c r="J4" s="20">
        <v>2.6079809165025525</v>
      </c>
      <c r="K4" s="20">
        <v>1.6094686036365302</v>
      </c>
    </row>
    <row r="5" spans="1:11" x14ac:dyDescent="0.2">
      <c r="A5">
        <v>2678</v>
      </c>
      <c r="B5" t="s">
        <v>806</v>
      </c>
      <c r="C5" t="s">
        <v>614</v>
      </c>
      <c r="D5" s="20">
        <v>4.4152798556881354</v>
      </c>
      <c r="E5" s="20">
        <v>2.6444040205586075</v>
      </c>
      <c r="F5" s="20">
        <v>26.810479893451898</v>
      </c>
      <c r="G5" s="20">
        <v>12.004688342591448</v>
      </c>
      <c r="H5" s="20">
        <v>10.515684030053437</v>
      </c>
      <c r="I5" s="20">
        <v>6.9269979296866522</v>
      </c>
      <c r="J5" s="20">
        <v>21.362459373530861</v>
      </c>
      <c r="K5" s="20">
        <v>1.9329694959055161</v>
      </c>
    </row>
    <row r="6" spans="1:11" x14ac:dyDescent="0.2">
      <c r="A6">
        <v>2679</v>
      </c>
      <c r="B6" t="s">
        <v>806</v>
      </c>
      <c r="C6" t="s">
        <v>614</v>
      </c>
      <c r="D6" s="20">
        <v>0.23820819503306376</v>
      </c>
      <c r="E6" s="20">
        <v>2.1905143329074077</v>
      </c>
      <c r="F6" s="20">
        <v>5.8667660649544935</v>
      </c>
      <c r="G6" s="20">
        <v>16.596865385575704</v>
      </c>
      <c r="H6" s="20">
        <v>5.6709771079933926</v>
      </c>
      <c r="I6" s="20">
        <v>2.491496722822923</v>
      </c>
      <c r="J6" s="20">
        <v>1.0897338493618947</v>
      </c>
      <c r="K6" s="20">
        <v>1.201596066613277</v>
      </c>
    </row>
    <row r="7" spans="1:11" x14ac:dyDescent="0.2">
      <c r="A7">
        <v>2680</v>
      </c>
      <c r="B7" t="s">
        <v>806</v>
      </c>
      <c r="C7" t="s">
        <v>809</v>
      </c>
      <c r="D7" s="20">
        <v>2.2060496858330954</v>
      </c>
      <c r="E7" s="44" t="s">
        <v>992</v>
      </c>
      <c r="F7" s="20">
        <v>170.35599693552291</v>
      </c>
      <c r="G7" s="20">
        <v>99.688406034327699</v>
      </c>
      <c r="H7" s="20">
        <v>18.28088506028147</v>
      </c>
      <c r="I7" s="20">
        <v>1.1638972187500198</v>
      </c>
      <c r="J7" s="20">
        <v>263.0761787824847</v>
      </c>
      <c r="K7" s="20">
        <v>80.522001863430461</v>
      </c>
    </row>
    <row r="8" spans="1:11" x14ac:dyDescent="0.2">
      <c r="A8">
        <v>2681</v>
      </c>
      <c r="B8" t="s">
        <v>806</v>
      </c>
      <c r="C8" t="s">
        <v>809</v>
      </c>
      <c r="D8" s="44" t="s">
        <v>992</v>
      </c>
      <c r="E8" s="44" t="s">
        <v>992</v>
      </c>
      <c r="F8" s="20">
        <v>70.748608073301682</v>
      </c>
      <c r="G8" s="20">
        <v>18.355573070066654</v>
      </c>
      <c r="H8" s="20">
        <v>18.423374288774617</v>
      </c>
      <c r="I8" s="20">
        <v>0.75109369468221454</v>
      </c>
      <c r="J8" s="20">
        <v>199.48641210050056</v>
      </c>
      <c r="K8" s="20">
        <v>79.029429482309155</v>
      </c>
    </row>
    <row r="9" spans="1:11" x14ac:dyDescent="0.2">
      <c r="A9">
        <v>2682</v>
      </c>
      <c r="B9" t="s">
        <v>806</v>
      </c>
      <c r="C9" t="s">
        <v>809</v>
      </c>
      <c r="D9" s="20">
        <v>0.11500457691431801</v>
      </c>
      <c r="E9" s="20">
        <v>121.36450974708421</v>
      </c>
      <c r="F9" s="20">
        <v>119.77578861152816</v>
      </c>
      <c r="G9" s="20">
        <v>149.5407485998353</v>
      </c>
      <c r="H9" s="20">
        <v>58.384190607970964</v>
      </c>
      <c r="I9" s="20">
        <v>1.1649996844970811</v>
      </c>
      <c r="J9" s="20">
        <v>281.14124009648208</v>
      </c>
      <c r="K9" s="20">
        <v>145.22177518378547</v>
      </c>
    </row>
    <row r="10" spans="1:11" x14ac:dyDescent="0.2">
      <c r="A10">
        <v>2683</v>
      </c>
      <c r="B10" t="s">
        <v>806</v>
      </c>
      <c r="C10" t="s">
        <v>809</v>
      </c>
      <c r="D10" s="20">
        <v>4.1339050607099548</v>
      </c>
      <c r="E10" s="20">
        <v>21.301592978100707</v>
      </c>
      <c r="F10" s="20">
        <v>126.64993717091738</v>
      </c>
      <c r="G10" s="20">
        <v>43.481548550600372</v>
      </c>
      <c r="H10" s="20">
        <v>23.63507739326279</v>
      </c>
      <c r="I10" s="20">
        <v>1.8399162212370255</v>
      </c>
      <c r="J10" s="20">
        <v>190.51381213189052</v>
      </c>
      <c r="K10" s="20">
        <v>85.85354459268234</v>
      </c>
    </row>
    <row r="11" spans="1:11" x14ac:dyDescent="0.2">
      <c r="A11">
        <v>2684</v>
      </c>
      <c r="B11" t="s">
        <v>806</v>
      </c>
      <c r="C11" t="s">
        <v>809</v>
      </c>
      <c r="D11" s="20">
        <v>5.6658249734602339</v>
      </c>
      <c r="E11" s="20">
        <v>73.579929094190561</v>
      </c>
      <c r="F11" s="20">
        <v>368.54070861792286</v>
      </c>
      <c r="G11" s="20">
        <v>51.336094109021076</v>
      </c>
      <c r="H11" s="20">
        <v>14.759814594146523</v>
      </c>
      <c r="I11" s="20">
        <v>1.5303430157590459</v>
      </c>
      <c r="J11" s="20">
        <v>96.753133460246445</v>
      </c>
      <c r="K11" s="20">
        <v>75.659176185920302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5E36-9F6B-664C-9F17-58639369B742}">
  <dimension ref="A5:J25"/>
  <sheetViews>
    <sheetView workbookViewId="0">
      <selection activeCell="F13" sqref="F13"/>
    </sheetView>
  </sheetViews>
  <sheetFormatPr baseColWidth="10" defaultRowHeight="15" x14ac:dyDescent="0.2"/>
  <cols>
    <col min="1" max="1" width="13.5" customWidth="1"/>
    <col min="2" max="2" width="7.6640625" customWidth="1"/>
    <col min="6" max="6" width="7.5" customWidth="1"/>
    <col min="7" max="7" width="6.5" customWidth="1"/>
    <col min="9" max="9" width="12.33203125" customWidth="1"/>
  </cols>
  <sheetData>
    <row r="5" spans="1:10" ht="30.75" customHeight="1" x14ac:dyDescent="0.2">
      <c r="A5" s="43" t="s">
        <v>981</v>
      </c>
      <c r="B5" s="43" t="s">
        <v>859</v>
      </c>
      <c r="C5" s="43" t="s">
        <v>982</v>
      </c>
      <c r="D5" s="15" t="s">
        <v>948</v>
      </c>
      <c r="E5" s="15" t="s">
        <v>949</v>
      </c>
      <c r="F5" s="15" t="s">
        <v>950</v>
      </c>
      <c r="G5" s="41" t="s">
        <v>951</v>
      </c>
      <c r="H5" s="42"/>
      <c r="I5" s="16" t="s">
        <v>952</v>
      </c>
      <c r="J5" s="17" t="s">
        <v>953</v>
      </c>
    </row>
    <row r="6" spans="1:10" x14ac:dyDescent="0.2">
      <c r="A6" s="18">
        <v>2675</v>
      </c>
      <c r="B6" s="20" t="s">
        <v>806</v>
      </c>
      <c r="C6" s="19" t="s">
        <v>614</v>
      </c>
      <c r="D6" s="20">
        <v>0</v>
      </c>
      <c r="E6" s="20">
        <v>0</v>
      </c>
      <c r="F6" s="20">
        <v>0</v>
      </c>
      <c r="G6" s="20">
        <v>0</v>
      </c>
      <c r="H6" s="20"/>
      <c r="I6" s="21" t="s">
        <v>954</v>
      </c>
      <c r="J6" s="22">
        <f>D6+E6+F6+G6</f>
        <v>0</v>
      </c>
    </row>
    <row r="7" spans="1:10" x14ac:dyDescent="0.2">
      <c r="A7" s="18">
        <v>2676</v>
      </c>
      <c r="B7" s="20" t="s">
        <v>806</v>
      </c>
      <c r="C7" s="19" t="s">
        <v>614</v>
      </c>
      <c r="D7" s="20">
        <v>0</v>
      </c>
      <c r="E7" s="20">
        <v>0</v>
      </c>
      <c r="F7" s="20">
        <v>0</v>
      </c>
      <c r="G7" s="20">
        <v>0</v>
      </c>
      <c r="H7" s="20"/>
      <c r="I7" s="21" t="s">
        <v>954</v>
      </c>
      <c r="J7" s="22">
        <f t="shared" ref="J7:J15" si="0">D7+E7+F7+G7</f>
        <v>0</v>
      </c>
    </row>
    <row r="8" spans="1:10" x14ac:dyDescent="0.2">
      <c r="A8" s="18">
        <v>2677</v>
      </c>
      <c r="B8" s="20" t="s">
        <v>806</v>
      </c>
      <c r="C8" s="19" t="s">
        <v>614</v>
      </c>
      <c r="D8" s="20">
        <v>0</v>
      </c>
      <c r="E8" s="20">
        <v>0</v>
      </c>
      <c r="F8" s="20">
        <v>0</v>
      </c>
      <c r="G8" s="20">
        <v>0</v>
      </c>
      <c r="H8" s="20"/>
      <c r="I8" s="21" t="s">
        <v>954</v>
      </c>
      <c r="J8" s="22">
        <f t="shared" si="0"/>
        <v>0</v>
      </c>
    </row>
    <row r="9" spans="1:10" x14ac:dyDescent="0.2">
      <c r="A9" s="18">
        <v>2678</v>
      </c>
      <c r="B9" s="20" t="s">
        <v>806</v>
      </c>
      <c r="C9" s="19" t="s">
        <v>614</v>
      </c>
      <c r="D9" s="20">
        <v>1</v>
      </c>
      <c r="E9" s="20">
        <v>1</v>
      </c>
      <c r="F9" s="20">
        <v>0</v>
      </c>
      <c r="G9" s="20">
        <v>0</v>
      </c>
      <c r="H9" s="20"/>
      <c r="I9" s="21" t="s">
        <v>954</v>
      </c>
      <c r="J9" s="22">
        <f t="shared" si="0"/>
        <v>2</v>
      </c>
    </row>
    <row r="10" spans="1:10" x14ac:dyDescent="0.2">
      <c r="A10" s="18">
        <v>2679</v>
      </c>
      <c r="B10" s="20" t="s">
        <v>806</v>
      </c>
      <c r="C10" s="19" t="s">
        <v>614</v>
      </c>
      <c r="D10" s="20">
        <v>0</v>
      </c>
      <c r="E10" s="20">
        <v>1</v>
      </c>
      <c r="F10" s="20">
        <v>0</v>
      </c>
      <c r="G10" s="20">
        <v>0</v>
      </c>
      <c r="H10" s="20"/>
      <c r="I10" s="21" t="s">
        <v>954</v>
      </c>
      <c r="J10" s="22">
        <f t="shared" si="0"/>
        <v>1</v>
      </c>
    </row>
    <row r="11" spans="1:10" x14ac:dyDescent="0.2">
      <c r="A11" s="18">
        <v>2680</v>
      </c>
      <c r="B11" s="20" t="s">
        <v>806</v>
      </c>
      <c r="C11" s="19" t="s">
        <v>617</v>
      </c>
      <c r="D11" s="20">
        <v>2</v>
      </c>
      <c r="E11" s="20">
        <v>2</v>
      </c>
      <c r="F11" s="20">
        <v>2</v>
      </c>
      <c r="G11" s="20">
        <v>1</v>
      </c>
      <c r="H11" s="20"/>
      <c r="I11" s="21" t="s">
        <v>954</v>
      </c>
      <c r="J11" s="22">
        <f t="shared" si="0"/>
        <v>7</v>
      </c>
    </row>
    <row r="12" spans="1:10" x14ac:dyDescent="0.2">
      <c r="A12" s="18">
        <v>2681</v>
      </c>
      <c r="B12" s="20" t="s">
        <v>806</v>
      </c>
      <c r="C12" s="19" t="s">
        <v>617</v>
      </c>
      <c r="D12" s="20">
        <v>2</v>
      </c>
      <c r="E12" s="20">
        <v>3</v>
      </c>
      <c r="F12" s="20">
        <v>2</v>
      </c>
      <c r="G12" s="20">
        <v>2</v>
      </c>
      <c r="H12" s="20"/>
      <c r="I12" s="21" t="s">
        <v>954</v>
      </c>
      <c r="J12" s="22">
        <f t="shared" si="0"/>
        <v>9</v>
      </c>
    </row>
    <row r="13" spans="1:10" x14ac:dyDescent="0.2">
      <c r="A13" s="18">
        <v>2682</v>
      </c>
      <c r="B13" s="20" t="s">
        <v>806</v>
      </c>
      <c r="C13" s="19" t="s">
        <v>617</v>
      </c>
      <c r="D13" s="20">
        <v>1</v>
      </c>
      <c r="E13" s="20">
        <v>1</v>
      </c>
      <c r="F13" s="20">
        <v>1</v>
      </c>
      <c r="G13" s="20">
        <v>0</v>
      </c>
      <c r="H13" s="20"/>
      <c r="I13" s="21" t="s">
        <v>954</v>
      </c>
      <c r="J13" s="22">
        <f t="shared" si="0"/>
        <v>3</v>
      </c>
    </row>
    <row r="14" spans="1:10" x14ac:dyDescent="0.2">
      <c r="A14" s="18">
        <v>2683</v>
      </c>
      <c r="B14" s="20" t="s">
        <v>806</v>
      </c>
      <c r="C14" s="19" t="s">
        <v>617</v>
      </c>
      <c r="D14" s="20">
        <v>1</v>
      </c>
      <c r="E14" s="20">
        <v>3</v>
      </c>
      <c r="F14" s="20">
        <v>2</v>
      </c>
      <c r="G14" s="20">
        <v>1</v>
      </c>
      <c r="H14" s="20"/>
      <c r="I14" s="21" t="s">
        <v>954</v>
      </c>
      <c r="J14" s="22">
        <f t="shared" si="0"/>
        <v>7</v>
      </c>
    </row>
    <row r="15" spans="1:10" x14ac:dyDescent="0.2">
      <c r="A15" s="18">
        <v>2684</v>
      </c>
      <c r="B15" s="20" t="s">
        <v>806</v>
      </c>
      <c r="C15" s="19" t="s">
        <v>617</v>
      </c>
      <c r="D15" s="20">
        <v>1</v>
      </c>
      <c r="E15" s="20">
        <v>3</v>
      </c>
      <c r="F15" s="20">
        <v>2</v>
      </c>
      <c r="G15" s="20">
        <v>2</v>
      </c>
      <c r="H15" s="20"/>
      <c r="I15" s="21" t="s">
        <v>954</v>
      </c>
      <c r="J15" s="22">
        <f t="shared" si="0"/>
        <v>8</v>
      </c>
    </row>
    <row r="16" spans="1:10" ht="16" thickBot="1" x14ac:dyDescent="0.25"/>
    <row r="17" spans="1:6" ht="16" thickBot="1" x14ac:dyDescent="0.25">
      <c r="A17" s="23" t="s">
        <v>955</v>
      </c>
      <c r="B17" s="24">
        <v>0</v>
      </c>
      <c r="C17" s="25">
        <v>1</v>
      </c>
      <c r="D17" s="25">
        <v>2</v>
      </c>
      <c r="E17" s="25">
        <v>3</v>
      </c>
      <c r="F17" s="26">
        <v>4</v>
      </c>
    </row>
    <row r="18" spans="1:6" ht="45" x14ac:dyDescent="0.2">
      <c r="A18" s="27" t="s">
        <v>956</v>
      </c>
      <c r="B18" s="28" t="s">
        <v>957</v>
      </c>
      <c r="C18" s="29" t="s">
        <v>958</v>
      </c>
      <c r="D18" s="29" t="s">
        <v>959</v>
      </c>
      <c r="E18" s="29" t="s">
        <v>960</v>
      </c>
      <c r="F18" s="29"/>
    </row>
    <row r="19" spans="1:6" ht="41" x14ac:dyDescent="0.2">
      <c r="A19" s="30" t="s">
        <v>961</v>
      </c>
      <c r="B19" s="31" t="s">
        <v>962</v>
      </c>
      <c r="C19" s="32" t="s">
        <v>963</v>
      </c>
      <c r="D19" s="32" t="s">
        <v>964</v>
      </c>
      <c r="E19" s="32" t="s">
        <v>965</v>
      </c>
      <c r="F19" s="32" t="s">
        <v>966</v>
      </c>
    </row>
    <row r="20" spans="1:6" ht="45" x14ac:dyDescent="0.2">
      <c r="A20" s="30" t="s">
        <v>967</v>
      </c>
      <c r="B20" s="31" t="s">
        <v>968</v>
      </c>
      <c r="C20" s="32" t="s">
        <v>969</v>
      </c>
      <c r="D20" s="32" t="s">
        <v>970</v>
      </c>
      <c r="E20" s="32" t="s">
        <v>971</v>
      </c>
      <c r="F20" s="32"/>
    </row>
    <row r="21" spans="1:6" ht="32" x14ac:dyDescent="0.2">
      <c r="A21" s="33" t="s">
        <v>972</v>
      </c>
      <c r="B21" s="34" t="s">
        <v>957</v>
      </c>
      <c r="C21" s="35" t="s">
        <v>973</v>
      </c>
      <c r="D21" s="36" t="s">
        <v>974</v>
      </c>
      <c r="E21" s="36" t="s">
        <v>975</v>
      </c>
      <c r="F21" s="36"/>
    </row>
    <row r="22" spans="1:6" x14ac:dyDescent="0.2">
      <c r="A22" s="37"/>
      <c r="B22" s="38"/>
      <c r="C22" s="38"/>
      <c r="D22" s="38"/>
      <c r="E22" s="38"/>
      <c r="F22" s="38"/>
    </row>
    <row r="23" spans="1:6" ht="16" x14ac:dyDescent="0.2">
      <c r="A23" s="39" t="s">
        <v>976</v>
      </c>
      <c r="B23" s="40" t="s">
        <v>977</v>
      </c>
      <c r="C23" s="40"/>
      <c r="D23" s="40"/>
      <c r="E23" s="40"/>
      <c r="F23" s="40"/>
    </row>
    <row r="24" spans="1:6" ht="16" x14ac:dyDescent="0.2">
      <c r="A24" s="39" t="s">
        <v>978</v>
      </c>
      <c r="B24" t="s">
        <v>979</v>
      </c>
    </row>
    <row r="25" spans="1:6" ht="16" x14ac:dyDescent="0.2">
      <c r="A25" s="39" t="s">
        <v>954</v>
      </c>
      <c r="B25" t="s">
        <v>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Tab1</vt:lpstr>
      <vt:lpstr>Tab2</vt:lpstr>
      <vt:lpstr>Tab3</vt:lpstr>
      <vt:lpstr>Tab4</vt:lpstr>
      <vt:lpstr>Tab5</vt:lpstr>
      <vt:lpstr>Tab6</vt:lpstr>
      <vt:lpstr>Tab7</vt:lpstr>
      <vt:lpstr>Tab8</vt:lpstr>
      <vt:lpstr>Tab 9</vt:lpstr>
      <vt:lpstr>Tab10</vt:lpstr>
      <vt:lpstr>Tab11</vt:lpstr>
      <vt:lpstr>Tab 12</vt:lpstr>
      <vt:lpstr>Tab13</vt:lpstr>
      <vt:lpstr>Tab14</vt:lpstr>
      <vt:lpstr>Tab15</vt:lpstr>
      <vt:lpstr>Tab16</vt:lpstr>
      <vt:lpstr>Tab 17</vt:lpstr>
      <vt:lpstr>Tab 18</vt:lpstr>
      <vt:lpstr>Tab 19</vt:lpstr>
    </vt:vector>
  </TitlesOfParts>
  <Company>Leibniz-Rechenzentrum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Weiß, Anna</dc:creator>
  <cp:lastModifiedBy>Anna Weiss</cp:lastModifiedBy>
  <dcterms:created xsi:type="dcterms:W3CDTF">2022-10-25T13:35:11Z</dcterms:created>
  <dcterms:modified xsi:type="dcterms:W3CDTF">2023-08-02T17:55:12Z</dcterms:modified>
</cp:coreProperties>
</file>